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ssentials\Beyond Downloads\"/>
    </mc:Choice>
  </mc:AlternateContent>
  <xr:revisionPtr revIDLastSave="0" documentId="8_{0CA78D6F-03B2-4507-A0BD-0EBD10A710C5}" xr6:coauthVersionLast="46" xr6:coauthVersionMax="46" xr10:uidLastSave="{00000000-0000-0000-0000-000000000000}"/>
  <bookViews>
    <workbookView xWindow="-120" yWindow="-120" windowWidth="29040" windowHeight="16440"/>
  </bookViews>
  <sheets>
    <sheet name="fullrosternew" sheetId="1" r:id="rId1"/>
    <sheet name="fullrosterCWLrole" sheetId="2" r:id="rId2"/>
  </sheets>
  <externalReferences>
    <externalReference r:id="rId3"/>
  </externalReferences>
  <calcPr calcId="0"/>
</workbook>
</file>

<file path=xl/calcChain.xml><?xml version="1.0" encoding="utf-8"?>
<calcChain xmlns="http://schemas.openxmlformats.org/spreadsheetml/2006/main">
  <c r="O20" i="1" l="1"/>
  <c r="P20" i="1" s="1"/>
  <c r="Q20" i="1"/>
  <c r="R20" i="1"/>
  <c r="S20" i="1"/>
  <c r="T20" i="1"/>
  <c r="U20" i="1"/>
  <c r="V20" i="1"/>
  <c r="W20" i="1"/>
  <c r="X20" i="1"/>
  <c r="Y20" i="1"/>
  <c r="Z20" i="1"/>
  <c r="O21" i="1"/>
  <c r="P21" i="1" s="1"/>
  <c r="Q21" i="1"/>
  <c r="R21" i="1"/>
  <c r="S21" i="1"/>
  <c r="T21" i="1"/>
  <c r="U21" i="1"/>
  <c r="V21" i="1"/>
  <c r="W21" i="1"/>
  <c r="X21" i="1"/>
  <c r="Y21" i="1"/>
  <c r="Z21" i="1"/>
  <c r="O22" i="1"/>
  <c r="P22" i="1" s="1"/>
  <c r="Q22" i="1"/>
  <c r="R22" i="1"/>
  <c r="S22" i="1"/>
  <c r="T22" i="1"/>
  <c r="U22" i="1"/>
  <c r="V22" i="1"/>
  <c r="W22" i="1"/>
  <c r="X22" i="1"/>
  <c r="Y22" i="1"/>
  <c r="Z22" i="1"/>
  <c r="O23" i="1"/>
  <c r="P23" i="1" s="1"/>
  <c r="Q23" i="1"/>
  <c r="R23" i="1"/>
  <c r="S23" i="1"/>
  <c r="T23" i="1"/>
  <c r="U23" i="1"/>
  <c r="V23" i="1"/>
  <c r="W23" i="1"/>
  <c r="X23" i="1"/>
  <c r="Y23" i="1"/>
  <c r="Z23" i="1"/>
  <c r="O24" i="1"/>
  <c r="P24" i="1" s="1"/>
  <c r="Q24" i="1"/>
  <c r="R24" i="1"/>
  <c r="S24" i="1"/>
  <c r="T24" i="1"/>
  <c r="U24" i="1"/>
  <c r="V24" i="1"/>
  <c r="W24" i="1"/>
  <c r="X24" i="1"/>
  <c r="Y24" i="1"/>
  <c r="Z24" i="1"/>
  <c r="O25" i="1"/>
  <c r="P25" i="1" s="1"/>
  <c r="Q25" i="1"/>
  <c r="R25" i="1"/>
  <c r="S25" i="1"/>
  <c r="T25" i="1"/>
  <c r="U25" i="1"/>
  <c r="V25" i="1"/>
  <c r="W25" i="1"/>
  <c r="X25" i="1"/>
  <c r="Y25" i="1"/>
  <c r="Z25" i="1"/>
  <c r="Z19" i="1"/>
  <c r="Y19" i="1"/>
  <c r="X19" i="1"/>
  <c r="W19" i="1"/>
  <c r="V19" i="1"/>
  <c r="U19" i="1"/>
  <c r="T19" i="1"/>
  <c r="R19" i="1"/>
  <c r="S19" i="1"/>
  <c r="Q19" i="1"/>
  <c r="P19" i="1"/>
  <c r="O19" i="1"/>
  <c r="Q12" i="1"/>
  <c r="Q13" i="1"/>
  <c r="Q14" i="1"/>
  <c r="Q15" i="1"/>
  <c r="Q16" i="1"/>
  <c r="Q11" i="1"/>
  <c r="P12" i="1"/>
  <c r="P13" i="1"/>
  <c r="P14" i="1"/>
  <c r="P15" i="1"/>
  <c r="P16" i="1"/>
  <c r="P11" i="1"/>
  <c r="O16" i="1"/>
  <c r="O15" i="1"/>
  <c r="O14" i="1"/>
  <c r="O13" i="1"/>
  <c r="O12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2" i="1"/>
  <c r="H9" i="2"/>
</calcChain>
</file>

<file path=xl/sharedStrings.xml><?xml version="1.0" encoding="utf-8"?>
<sst xmlns="http://schemas.openxmlformats.org/spreadsheetml/2006/main" count="1961" uniqueCount="721">
  <si>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</si>
  <si>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</si>
  <si>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</si>
  <si>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</si>
  <si>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</si>
  <si>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</si>
  <si>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</si>
  <si>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</si>
  <si>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</si>
  <si>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</si>
  <si>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</si>
  <si>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Town Hall</t>
  </si>
  <si>
    <t>13D/14</t>
  </si>
  <si>
    <t>#PGJRLJG2C</t>
  </si>
  <si>
    <t>Pixalâ„¢ï¸</t>
  </si>
  <si>
    <t>Champion League I</t>
  </si>
  <si>
    <t>Sheer Force</t>
  </si>
  <si>
    <t>#92RVQGR0C</t>
  </si>
  <si>
    <t>StringFire</t>
  </si>
  <si>
    <t>Champion League II</t>
  </si>
  <si>
    <t>#98P0GPCQC</t>
  </si>
  <si>
    <t>Baby Dragon</t>
  </si>
  <si>
    <t>Co-Leader</t>
  </si>
  <si>
    <t>Champion League III</t>
  </si>
  <si>
    <t>Golden Clan</t>
  </si>
  <si>
    <t>#82RPPRU9J</t>
  </si>
  <si>
    <t>joyel</t>
  </si>
  <si>
    <t>Elder</t>
  </si>
  <si>
    <t>Master League I</t>
  </si>
  <si>
    <t>Dark Matter</t>
  </si>
  <si>
    <t>#22Q8Y2CU9</t>
  </si>
  <si>
    <t>Willy</t>
  </si>
  <si>
    <t>Crystal League II</t>
  </si>
  <si>
    <t>Wookies</t>
  </si>
  <si>
    <t>#YCQCP0U02</t>
  </si>
  <si>
    <t>Mnoon</t>
  </si>
  <si>
    <t>Crystal League III</t>
  </si>
  <si>
    <t>Totals</t>
  </si>
  <si>
    <t>#8PP29PLC8</t>
  </si>
  <si>
    <t>Onahole</t>
  </si>
  <si>
    <t>Total</t>
  </si>
  <si>
    <t>#9C2QLPYLC</t>
  </si>
  <si>
    <t>Joyel!!</t>
  </si>
  <si>
    <t>For 15 or 30</t>
  </si>
  <si>
    <t>Possible combos</t>
  </si>
  <si>
    <t># of THs</t>
  </si>
  <si>
    <t>Last Season</t>
  </si>
  <si>
    <t>#LVQ0C20U2</t>
  </si>
  <si>
    <t>Bot ryze</t>
  </si>
  <si>
    <t>Color</t>
  </si>
  <si>
    <t>Meaning</t>
  </si>
  <si>
    <t>TH13&amp;14</t>
  </si>
  <si>
    <t>Red</t>
  </si>
  <si>
    <t>#LLC20U2PG</t>
  </si>
  <si>
    <t>dk</t>
  </si>
  <si>
    <t>Gold League I</t>
  </si>
  <si>
    <t>Not enough for 15 war</t>
  </si>
  <si>
    <t>Rushed 13+12</t>
  </si>
  <si>
    <t>Over</t>
  </si>
  <si>
    <t>#2C9LR9P2Q</t>
  </si>
  <si>
    <t>Kiwi</t>
  </si>
  <si>
    <t>Within</t>
  </si>
  <si>
    <t>Within limits for 30 war</t>
  </si>
  <si>
    <t>SF 10s and 11s with LM 9s</t>
  </si>
  <si>
    <t>Green</t>
  </si>
  <si>
    <t>#2JQGJ8LU9</t>
  </si>
  <si>
    <t>Trap Master</t>
  </si>
  <si>
    <t>Exact req for 15 or 30</t>
  </si>
  <si>
    <t xml:space="preserve"> DM/LM 10s and 11s with SF 9s</t>
  </si>
  <si>
    <t>#Q0PYP8U0V</t>
  </si>
  <si>
    <t>Beyond</t>
  </si>
  <si>
    <t>Gold League II</t>
  </si>
  <si>
    <t>ALL TH7+8</t>
  </si>
  <si>
    <t>#Q08UPC0G</t>
  </si>
  <si>
    <t>curtickle</t>
  </si>
  <si>
    <t>Tile</t>
  </si>
  <si>
    <t>Between 15 and 30</t>
  </si>
  <si>
    <t>TH7 + 8 + 9</t>
  </si>
  <si>
    <t>#Y8QUY2LLQ</t>
  </si>
  <si>
    <t>marbear</t>
  </si>
  <si>
    <t>Over 33</t>
  </si>
  <si>
    <t>#Y9LCJP8LQ</t>
  </si>
  <si>
    <t>Gutti Guy 2</t>
  </si>
  <si>
    <t>Unranked</t>
  </si>
  <si>
    <t>#Q89UJYRV0</t>
  </si>
  <si>
    <t>DarkLight</t>
  </si>
  <si>
    <t>Gold League III</t>
  </si>
  <si>
    <t>#LC02LYCL8</t>
  </si>
  <si>
    <t>Burns</t>
  </si>
  <si>
    <t>#LJCPUJYYC</t>
  </si>
  <si>
    <t>Murple</t>
  </si>
  <si>
    <t>#LVQQG9JJV</t>
  </si>
  <si>
    <t>smooth-ie</t>
  </si>
  <si>
    <t>#YRJ8YUVLU</t>
  </si>
  <si>
    <t>verbxtiim</t>
  </si>
  <si>
    <t>#LJVPQJCPV</t>
  </si>
  <si>
    <t>Sung Jin-Woo</t>
  </si>
  <si>
    <t>#Q9CP8QJJR</t>
  </si>
  <si>
    <t>Kruptos</t>
  </si>
  <si>
    <t>#L202YPUR8</t>
  </si>
  <si>
    <t>OGclashplayer</t>
  </si>
  <si>
    <t>#QY28G89RP</t>
  </si>
  <si>
    <t>verbadxmb</t>
  </si>
  <si>
    <t>Silver League I</t>
  </si>
  <si>
    <t>#LUUYL909Y</t>
  </si>
  <si>
    <t>PENCIL</t>
  </si>
  <si>
    <t>#LQCUQVPCL</t>
  </si>
  <si>
    <t>Diesel.905</t>
  </si>
  <si>
    <t>#LVY22R28U</t>
  </si>
  <si>
    <t>KobraDangerKing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</si>
  <si>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</si>
  <si>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</si>
  <si>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</si>
  <si>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</si>
  <si>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</si>
  <si>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</si>
  <si>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</si>
  <si>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#Y0GLU0G9Y</t>
  </si>
  <si>
    <t>G.O.L.D.</t>
  </si>
  <si>
    <t>#QYU0RRGJL</t>
  </si>
  <si>
    <t>laruee47</t>
  </si>
  <si>
    <t>#Y9CP0YPC8</t>
  </si>
  <si>
    <t>marbabe</t>
  </si>
  <si>
    <t>#P08LRYVYJ</t>
  </si>
  <si>
    <t>Chewi â­â­â­â­â­</t>
  </si>
  <si>
    <t>Leader</t>
  </si>
  <si>
    <t>#Y02C9UUGQ</t>
  </si>
  <si>
    <t>âš¡ï¸Shockwaveâš¡ï¸</t>
  </si>
  <si>
    <t>#Q09J8YQRQ</t>
  </si>
  <si>
    <t>darth marmar</t>
  </si>
  <si>
    <t>#YRUR8VUL2</t>
  </si>
  <si>
    <t>Lil Willy</t>
  </si>
  <si>
    <t>#LCQYULLVR</t>
  </si>
  <si>
    <t>Baby Dream</t>
  </si>
  <si>
    <t>Silver League III</t>
  </si>
  <si>
    <t>#PVVP028R8</t>
  </si>
  <si>
    <t>Come-Stayin</t>
  </si>
  <si>
    <t>#LGPV08RLJ</t>
  </si>
  <si>
    <t>OUTTVT1ME</t>
  </si>
  <si>
    <t>#LVJ0LPCU9</t>
  </si>
  <si>
    <t>âš”ï¸FC Warriorâš”ï¸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</si>
  <si>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</si>
  <si>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</si>
  <si>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</si>
  <si>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</si>
  <si>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</si>
  <si>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</si>
  <si>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</si>
  <si>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</si>
  <si>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</si>
  <si>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</si>
  <si>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</si>
  <si>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</si>
  <si>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</si>
  <si>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</si>
  <si>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</si>
  <si>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</si>
  <si>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</si>
  <si>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</si>
  <si>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</si>
  <si>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</si>
  <si>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</si>
  <si>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</si>
  <si>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</si>
  <si>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</si>
  <si>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</si>
  <si>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</si>
  <si>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</si>
  <si>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</si>
  <si>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</si>
  <si>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</si>
  <si>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</si>
  <si>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</si>
  <si>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</si>
  <si>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</si>
  <si>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#280QYU8Y</t>
  </si>
  <si>
    <t>Logan</t>
  </si>
  <si>
    <t>Mini Matter</t>
  </si>
  <si>
    <t>#LQ0PGV0LJ</t>
  </si>
  <si>
    <t>Wet Nightmare</t>
  </si>
  <si>
    <t>#L2RCPVJV</t>
  </si>
  <si>
    <t>Optimus</t>
  </si>
  <si>
    <t>#PUYCRJC</t>
  </si>
  <si>
    <t>mini string</t>
  </si>
  <si>
    <t>Master League III</t>
  </si>
  <si>
    <t>#QPYRLQVC9</t>
  </si>
  <si>
    <t>joker face</t>
  </si>
  <si>
    <t>#PRVV2GV80</t>
  </si>
  <si>
    <t>FlipDon</t>
  </si>
  <si>
    <t>#Q00VVVL9U</t>
  </si>
  <si>
    <t>Kinoko</t>
  </si>
  <si>
    <t>#QP0R2YULL</t>
  </si>
  <si>
    <t>StonyGhost</t>
  </si>
  <si>
    <t>#2QVV8YC2P</t>
  </si>
  <si>
    <t>Anomaly</t>
  </si>
  <si>
    <t>#Q9VGC0CQ8</t>
  </si>
  <si>
    <t>Mr. CoCo</t>
  </si>
  <si>
    <t>#LLPPPC0UR</t>
  </si>
  <si>
    <t>Gutti Guy 5</t>
  </si>
  <si>
    <t>#QP90VG0VC</t>
  </si>
  <si>
    <t>Cytosed</t>
  </si>
  <si>
    <t>#Q9PU2PJJL</t>
  </si>
  <si>
    <t>Alex The Strong</t>
  </si>
  <si>
    <t>#Q0CGY89Y2</t>
  </si>
  <si>
    <t>goblin</t>
  </si>
  <si>
    <t>#QPR9CP8PY</t>
  </si>
  <si>
    <t>Sarge Luca</t>
  </si>
  <si>
    <t>#Q90Q8UJYL</t>
  </si>
  <si>
    <t>Lord Jeff</t>
  </si>
  <si>
    <t>#8LU98GJ0L</t>
  </si>
  <si>
    <t>Match Attax</t>
  </si>
  <si>
    <t>#QPPCJ8RJ8</t>
  </si>
  <si>
    <t>Jimbooo</t>
  </si>
  <si>
    <t>Bronze League I</t>
  </si>
  <si>
    <t>#Q9P9JCVRV</t>
  </si>
  <si>
    <t>Alex The Great</t>
  </si>
  <si>
    <t>#YRCJ9L80R</t>
  </si>
  <si>
    <t>Elder's DoorMan</t>
  </si>
  <si>
    <t>#Q8GPYC9PR</t>
  </si>
  <si>
    <t>Darth Chewi</t>
  </si>
  <si>
    <t>#Q9GL90U28</t>
  </si>
  <si>
    <t>Alex The Wise</t>
  </si>
  <si>
    <t>#QP0G8V9QP</t>
  </si>
  <si>
    <t>Liliruca</t>
  </si>
  <si>
    <t>#Q2UQQPGPP</t>
  </si>
  <si>
    <t>Krakatoa</t>
  </si>
  <si>
    <t>#LCQ8JVJQ9</t>
  </si>
  <si>
    <t>Elite_Potato</t>
  </si>
  <si>
    <t>#LUPVQVLPV</t>
  </si>
  <si>
    <t>jolballing</t>
  </si>
  <si>
    <t>#Q9PC8PJYJ</t>
  </si>
  <si>
    <t>Dream v2</t>
  </si>
  <si>
    <t>#Q8GLGLV80</t>
  </si>
  <si>
    <t>beaker</t>
  </si>
  <si>
    <t>s lab</t>
  </si>
  <si>
    <t>Bronze League II</t>
  </si>
  <si>
    <t>#PV2CG0YJ8</t>
  </si>
  <si>
    <t>Monkeylette</t>
  </si>
  <si>
    <t>#QY02090U2</t>
  </si>
  <si>
    <t>edgar</t>
  </si>
  <si>
    <t>#8Q0LPUQ2V</t>
  </si>
  <si>
    <t>Act Natural</t>
  </si>
  <si>
    <t>#PYV2U22QP</t>
  </si>
  <si>
    <t>DocDon</t>
  </si>
  <si>
    <t>#Q0VG2UR9J</t>
  </si>
  <si>
    <t>PANda</t>
  </si>
  <si>
    <t>Bronze League III</t>
  </si>
  <si>
    <t>#LUCVRGUQ8</t>
  </si>
  <si>
    <t>adam</t>
  </si>
  <si>
    <t>#Q98CYPUL0</t>
  </si>
  <si>
    <t>GLadiTor</t>
  </si>
  <si>
    <t>#LVU80LJ2J</t>
  </si>
  <si>
    <t>Jumbo Snack</t>
  </si>
  <si>
    <t>#QQ9LRJ8G8</t>
  </si>
  <si>
    <t>javier camacho</t>
  </si>
  <si>
    <t>#Q9QVPL28L</t>
  </si>
  <si>
    <t>bigrojo</t>
  </si>
  <si>
    <t>#Q8CVC29LU</t>
  </si>
  <si>
    <t>Fruit Blender</t>
  </si>
  <si>
    <t>#Q2LUVJQPL</t>
  </si>
  <si>
    <t>Fruit Smoothie</t>
  </si>
  <si>
    <t>#LCCUVJYQJ</t>
  </si>
  <si>
    <t>Hox</t>
  </si>
  <si>
    <t>#Q28JPV8Y2</t>
  </si>
  <si>
    <t>Fruit Gummie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</si>
  <si>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</si>
  <si>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</si>
  <si>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</si>
  <si>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</si>
  <si>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</si>
  <si>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</si>
  <si>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</si>
  <si>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</si>
  <si>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</si>
  <si>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</si>
  <si>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</si>
  <si>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</si>
  <si>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</si>
  <si>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</si>
  <si>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</si>
  <si>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</si>
  <si>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</si>
  <si>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</si>
  <si>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</si>
  <si>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</si>
  <si>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</si>
  <si>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</si>
  <si>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</si>
  <si>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</si>
  <si>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</si>
  <si>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</si>
  <si>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</si>
  <si>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</si>
  <si>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</si>
  <si>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</si>
  <si>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</si>
  <si>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</si>
  <si>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</si>
  <si>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</si>
  <si>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</si>
  <si>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</si>
  <si>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</si>
  <si>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</si>
  <si>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</si>
  <si>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</si>
  <si>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</si>
  <si>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</si>
  <si>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</si>
  <si>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</si>
  <si>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</si>
  <si>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</si>
  <si>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</si>
  <si>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</si>
  <si>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</si>
  <si>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</si>
  <si>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</si>
  <si>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</si>
  <si>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</si>
  <si>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</si>
  <si>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</si>
  <si>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</si>
  <si>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</si>
  <si>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</si>
  <si>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#2LPCUCLYR</t>
  </si>
  <si>
    <t>Eric</t>
  </si>
  <si>
    <t>PETARUNG SEJATI</t>
  </si>
  <si>
    <t>#9YUP2GLCY</t>
  </si>
  <si>
    <t>Chewi</t>
  </si>
  <si>
    <t>Legend League</t>
  </si>
  <si>
    <t>#CVYC8LQV</t>
  </si>
  <si>
    <t>aid</t>
  </si>
  <si>
    <t>#2CJGPPR0P</t>
  </si>
  <si>
    <t>Aussie</t>
  </si>
  <si>
    <t>#YUP8VPGU2</t>
  </si>
  <si>
    <t>wtxmp</t>
  </si>
  <si>
    <t>Titan League I</t>
  </si>
  <si>
    <t>#VRJ9VG0R</t>
  </si>
  <si>
    <t>McNuggets</t>
  </si>
  <si>
    <t>#28JGQ9YPV</t>
  </si>
  <si>
    <t>Lexpachi</t>
  </si>
  <si>
    <t>#90VV2VVU</t>
  </si>
  <si>
    <t>janaenae</t>
  </si>
  <si>
    <t>#LUQ9989</t>
  </si>
  <si>
    <t>Alex</t>
  </si>
  <si>
    <t>#2UC829Q0R</t>
  </si>
  <si>
    <t>French Fry</t>
  </si>
  <si>
    <t>#2990QPY0</t>
  </si>
  <si>
    <t>Sug</t>
  </si>
  <si>
    <t>#8P0YU0098</t>
  </si>
  <si>
    <t>The Dude</t>
  </si>
  <si>
    <t>#9P9GR08Y</t>
  </si>
  <si>
    <t>Big Mac</t>
  </si>
  <si>
    <t>#22PR9220R</t>
  </si>
  <si>
    <t>Mebi</t>
  </si>
  <si>
    <t>Titan League III</t>
  </si>
  <si>
    <t>#8LY0RYJ28</t>
  </si>
  <si>
    <t>Aid2</t>
  </si>
  <si>
    <t>#289YCRGU2</t>
  </si>
  <si>
    <t>Revolt</t>
  </si>
  <si>
    <t>#2U2LLLQVV</t>
  </si>
  <si>
    <t>Pix</t>
  </si>
  <si>
    <t>#2JJGL8JL0</t>
  </si>
  <si>
    <t>RH Rangers</t>
  </si>
  <si>
    <t>#J00PYG2U</t>
  </si>
  <si>
    <t>McFlurry</t>
  </si>
  <si>
    <t>#JGYQV8GL</t>
  </si>
  <si>
    <t>Drago</t>
  </si>
  <si>
    <t>#P2JLJU89L</t>
  </si>
  <si>
    <t>turtle</t>
  </si>
  <si>
    <t>#8J2LGRUU</t>
  </si>
  <si>
    <t>Luca</t>
  </si>
  <si>
    <t>#PL9VLC9RP</t>
  </si>
  <si>
    <t>o0o_Jerson_o0o</t>
  </si>
  <si>
    <t>#RGVCJJUY</t>
  </si>
  <si>
    <t>Tricky</t>
  </si>
  <si>
    <t>#LGVVPPQ0C</t>
  </si>
  <si>
    <t>Max All B4 TH</t>
  </si>
  <si>
    <t>#LLYGGYJPV</t>
  </si>
  <si>
    <t>iLuvDaenerys</t>
  </si>
  <si>
    <t>#YLGP2V0YP</t>
  </si>
  <si>
    <t>FhishPearl</t>
  </si>
  <si>
    <t>#C08PVLUU</t>
  </si>
  <si>
    <t>HS McChicken</t>
  </si>
  <si>
    <t>#880R20PC</t>
  </si>
  <si>
    <t>Ossamy</t>
  </si>
  <si>
    <t>#YV2LL2R8G</t>
  </si>
  <si>
    <t>OVO_Drip Lord</t>
  </si>
  <si>
    <t>#2G9JJRVRG</t>
  </si>
  <si>
    <t>â˜ Äâ„¯aâ€ â„Œâ“»â“»â„œâ„¯aâ„˜â„¯Å—â˜ </t>
  </si>
  <si>
    <t>#LRUGQY80P</t>
  </si>
  <si>
    <t>BK1</t>
  </si>
  <si>
    <t>#GJG9RCGJ</t>
  </si>
  <si>
    <t>Liam7210</t>
  </si>
  <si>
    <t>#2YYL8LC9Q</t>
  </si>
  <si>
    <t>Gutti Guy</t>
  </si>
  <si>
    <t>#YQ2R02U2</t>
  </si>
  <si>
    <t>SPONGIYE</t>
  </si>
  <si>
    <t>Crystal League I</t>
  </si>
  <si>
    <t>#GPGCC9PG</t>
  </si>
  <si>
    <t>tank</t>
  </si>
  <si>
    <t>#LCC0QUJPG</t>
  </si>
  <si>
    <t>LÃ¸rd Lannister</t>
  </si>
  <si>
    <t>#VG0PV298</t>
  </si>
  <si>
    <t>Warlords Outcry</t>
  </si>
  <si>
    <t>#2PLJPGR0Q</t>
  </si>
  <si>
    <t>morfowt</t>
  </si>
  <si>
    <t>#LJVCYVPV9</t>
  </si>
  <si>
    <t>go easy on me</t>
  </si>
  <si>
    <t>#LQYQLGRQY</t>
  </si>
  <si>
    <t>Aurora</t>
  </si>
  <si>
    <t>#V0UQ2LC</t>
  </si>
  <si>
    <t>djdrng</t>
  </si>
  <si>
    <t>#PJCPC8280</t>
  </si>
  <si>
    <t>GAWD</t>
  </si>
  <si>
    <t>#9R9JP000V</t>
  </si>
  <si>
    <t>bibhu</t>
  </si>
  <si>
    <t>#2VYY92JGV</t>
  </si>
  <si>
    <t>dk97</t>
  </si>
  <si>
    <t>#V9LQRUJR</t>
  </si>
  <si>
    <t>Dagerson</t>
  </si>
  <si>
    <t>#2GCV29CGG</t>
  </si>
  <si>
    <t>Sandip!</t>
  </si>
  <si>
    <t>#2L9VLQL0Q</t>
  </si>
  <si>
    <t>B-Mar</t>
  </si>
  <si>
    <t>#9LLVCUY8C</t>
  </si>
  <si>
    <t>Rianto</t>
  </si>
  <si>
    <t>barudak sunda</t>
  </si>
  <si>
    <t>#PJUVP2GUC</t>
  </si>
  <si>
    <t>turtlette</t>
  </si>
  <si>
    <t>#PUCCG908Y</t>
  </si>
  <si>
    <t>Lucid</t>
  </si>
  <si>
    <t>#J9RGCLGL</t>
  </si>
  <si>
    <t>Triton</t>
  </si>
  <si>
    <t>#9PC2U8G98</t>
  </si>
  <si>
    <t>Bullet</t>
  </si>
  <si>
    <t>#20R9QGCJC</t>
  </si>
  <si>
    <t>verbatxm</t>
  </si>
  <si>
    <t>#Y9P0RUU0</t>
  </si>
  <si>
    <t>sillysilas</t>
  </si>
  <si>
    <t>#RCV08YPR</t>
  </si>
  <si>
    <t>littlesonshine</t>
  </si>
  <si>
    <t>#9R89Q2VC9</t>
  </si>
  <si>
    <t>COVID-19</t>
  </si>
  <si>
    <t>#82C9UC0U9</t>
  </si>
  <si>
    <t>Hypathios</t>
  </si>
  <si>
    <t>#2CJPGVLQ2</t>
  </si>
  <si>
    <t>Harsh (gt)25</t>
  </si>
  <si>
    <t>#YYLC2CJ20</t>
  </si>
  <si>
    <t>Kramer</t>
  </si>
  <si>
    <t>#Y8LP9VCV</t>
  </si>
  <si>
    <t>Casper 1</t>
  </si>
  <si>
    <t>#8VRRLG0LY</t>
  </si>
  <si>
    <t>Vito</t>
  </si>
  <si>
    <t>#990LG8Q9R</t>
  </si>
  <si>
    <t>#P29R0UYJP</t>
  </si>
  <si>
    <t>Grandma åŽ»</t>
  </si>
  <si>
    <t>#RYC8LYG2</t>
  </si>
  <si>
    <t>Shadvox</t>
  </si>
  <si>
    <t>#LPPQJQYJU</t>
  </si>
  <si>
    <t>qwertyuiop6</t>
  </si>
  <si>
    <t>#G099YGUG</t>
  </si>
  <si>
    <t>HomeSlicedToast</t>
  </si>
  <si>
    <t>#2G2YCU0P9</t>
  </si>
  <si>
    <t>Karuko</t>
  </si>
  <si>
    <t>#QGCLV2J0</t>
  </si>
  <si>
    <t>marleigh</t>
  </si>
  <si>
    <t>#2VR92U9UP</t>
  </si>
  <si>
    <t>Saransh</t>
  </si>
  <si>
    <t>#2VUUV2VJ2</t>
  </si>
  <si>
    <t>Ed</t>
  </si>
  <si>
    <t>#PGPJV9VCJ</t>
  </si>
  <si>
    <t>Deer</t>
  </si>
  <si>
    <t>#2U0GYYRRQ</t>
  </si>
  <si>
    <t>Â«N00BÂ»</t>
  </si>
  <si>
    <t>#LJ92JJ8Q</t>
  </si>
  <si>
    <t>ZARD</t>
  </si>
  <si>
    <t>#PGY0Q9Q2L</t>
  </si>
  <si>
    <t>THUNDERPULSE360</t>
  </si>
  <si>
    <t>#P8UUCPR8U</t>
  </si>
  <si>
    <t>Parth</t>
  </si>
  <si>
    <t>#LVY9R20CR</t>
  </si>
  <si>
    <t>Dry Dream</t>
  </si>
  <si>
    <t>#UGYUR2V9</t>
  </si>
  <si>
    <t>THE DARK VENOM</t>
  </si>
  <si>
    <t>#Y9V8LUCLQ</t>
  </si>
  <si>
    <t>Sloth</t>
  </si>
  <si>
    <t>#9PVQ9RJJG</t>
  </si>
  <si>
    <t>Salim</t>
  </si>
  <si>
    <t>#YLG82C9Y2</t>
  </si>
  <si>
    <t>SLAY DOG</t>
  </si>
  <si>
    <t>#2GQ22RCCG</t>
  </si>
  <si>
    <t>Hero</t>
  </si>
  <si>
    <t>#QP2LUC009</t>
  </si>
  <si>
    <t>Designerpog</t>
  </si>
  <si>
    <t>#292LQVGP8</t>
  </si>
  <si>
    <t>SkyNet</t>
  </si>
  <si>
    <t>#Q9GPQ08Y8</t>
  </si>
  <si>
    <t>luvly</t>
  </si>
  <si>
    <t>#L0JV0LQR0</t>
  </si>
  <si>
    <t>MY5T3RY5M4RT13</t>
  </si>
  <si>
    <t>#LC2Q8UPGP</t>
  </si>
  <si>
    <t>Anubis</t>
  </si>
  <si>
    <t>#LV9CQQUR9</t>
  </si>
  <si>
    <t>FredTime</t>
  </si>
  <si>
    <t>#Q0L0VY0PQ</t>
  </si>
  <si>
    <t>Kismet_27</t>
  </si>
  <si>
    <t>#QU29PUQ8</t>
  </si>
  <si>
    <t>Pork_Adobo</t>
  </si>
  <si>
    <t>#LCJ088C2</t>
  </si>
  <si>
    <t>#2LQ9Y8CUR</t>
  </si>
  <si>
    <t>kingTzilla</t>
  </si>
  <si>
    <t>#Q2V2QPQ0P</t>
  </si>
  <si>
    <t>Fisk</t>
  </si>
  <si>
    <t>#29Q8Y200G</t>
  </si>
  <si>
    <t>Pixalite</t>
  </si>
  <si>
    <t>#YV9P9GC0P</t>
  </si>
  <si>
    <t>/AaRoN\</t>
  </si>
  <si>
    <t>#9GRLJC9UJ</t>
  </si>
  <si>
    <t>ChewDon</t>
  </si>
  <si>
    <t>#JCYYY9VY</t>
  </si>
  <si>
    <t>Blue</t>
  </si>
  <si>
    <t>#LQ2P9VU88</t>
  </si>
  <si>
    <t>Theo</t>
  </si>
  <si>
    <t>#Q2RUCY88L</t>
  </si>
  <si>
    <t>Ice Golem</t>
  </si>
  <si>
    <t>#2CYVR82QQ</t>
  </si>
  <si>
    <t>á´¾á´¿á´¼ã‚·MoÐ½á´…Îºá´€Î¹Ò“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</si>
  <si>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</si>
  <si>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</si>
  <si>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</si>
  <si>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</si>
  <si>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</si>
  <si>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</si>
  <si>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</si>
  <si>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</si>
  <si>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</si>
  <si>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</si>
  <si>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#PLPUGP0Y9</t>
  </si>
  <si>
    <t>MANNY</t>
  </si>
  <si>
    <t>#8882CLY2</t>
  </si>
  <si>
    <t>johny2.0</t>
  </si>
  <si>
    <t>#RJQR9U8U</t>
  </si>
  <si>
    <t>Blackstock</t>
  </si>
  <si>
    <t>#P2PV8RRUL</t>
  </si>
  <si>
    <t>power star</t>
  </si>
  <si>
    <t>#LPVYQVGU9</t>
  </si>
  <si>
    <t>aidan2</t>
  </si>
  <si>
    <t>#P8PQUQYJ9</t>
  </si>
  <si>
    <t>pekka</t>
  </si>
  <si>
    <t>#PRC00R0</t>
  </si>
  <si>
    <t>â’¿â“„â’½â“ƒ</t>
  </si>
  <si>
    <t>#8QGJGY2Y</t>
  </si>
  <si>
    <t>TheLogHog</t>
  </si>
  <si>
    <t>#29URP2J0Q</t>
  </si>
  <si>
    <t>Caden</t>
  </si>
  <si>
    <t>#PY08RJLCL</t>
  </si>
  <si>
    <t>mynutzzhurt</t>
  </si>
  <si>
    <t>#YJ9V98PPC</t>
  </si>
  <si>
    <t>PaddyG</t>
  </si>
  <si>
    <t>#CJCPCVPU</t>
  </si>
  <si>
    <t>Plu</t>
  </si>
  <si>
    <t>#UQQYJLPG</t>
  </si>
  <si>
    <t>ãƒ‰ãƒ©ã‚´ãƒ³ã‚¹ãƒ‘ãƒžãƒ¼</t>
  </si>
  <si>
    <t>#LLRLUQQQU</t>
  </si>
  <si>
    <t>O Sather..</t>
  </si>
  <si>
    <t>#QV8RYC0L</t>
  </si>
  <si>
    <t>BeastMode</t>
  </si>
  <si>
    <t>#LGPGV9R2</t>
  </si>
  <si>
    <t>Max12</t>
  </si>
  <si>
    <t>#88L0YJYR8</t>
  </si>
  <si>
    <t>ryan</t>
  </si>
  <si>
    <t>#L2RY9JVU9</t>
  </si>
  <si>
    <t>DMoney</t>
  </si>
  <si>
    <t>#PCPGYQVR0</t>
  </si>
  <si>
    <t>chi</t>
  </si>
  <si>
    <t>#JURR2UVY</t>
  </si>
  <si>
    <t>DJDaniel27</t>
  </si>
  <si>
    <t>#P2U0LUPVQ</t>
  </si>
  <si>
    <t>ZHockey07</t>
  </si>
  <si>
    <t>#YGJ2CCPL0</t>
  </si>
  <si>
    <t>Firestorm42</t>
  </si>
  <si>
    <t>#LVPC9GRYJ</t>
  </si>
  <si>
    <t>Chubbz</t>
  </si>
  <si>
    <t>#Q0CP2C08Y</t>
  </si>
  <si>
    <t>stop-</t>
  </si>
  <si>
    <t>#9VYJ820U9</t>
  </si>
  <si>
    <t>xXeggrollXx</t>
  </si>
  <si>
    <t>#LJ9P2YLUP</t>
  </si>
  <si>
    <t>Nates Rushed Al</t>
  </si>
  <si>
    <t>#LJLR8RP89</t>
  </si>
  <si>
    <t>Mr. Target</t>
  </si>
  <si>
    <t>#PRP08L8UY</t>
  </si>
  <si>
    <t>Larz</t>
  </si>
  <si>
    <t>#LVUYGUPY8</t>
  </si>
  <si>
    <t>RonCydaoe</t>
  </si>
  <si>
    <t>#8QPRQRQL</t>
  </si>
  <si>
    <t>David S</t>
  </si>
  <si>
    <t>#YRY9G0YCJ</t>
  </si>
  <si>
    <t>Cloaked_Virus</t>
  </si>
  <si>
    <t>#Q02RVPQ80</t>
  </si>
  <si>
    <t>earliii</t>
  </si>
  <si>
    <t>#LCVCJGLVQ</t>
  </si>
  <si>
    <t>Joe Mama</t>
  </si>
  <si>
    <t>#QP0PYJQUJ</t>
  </si>
  <si>
    <t>asianquinn</t>
  </si>
  <si>
    <t>#82RYVJCVL</t>
  </si>
  <si>
    <t>erik.nordseth</t>
  </si>
  <si>
    <t>#P0R2VUVRV</t>
  </si>
  <si>
    <t>Jeff the ref</t>
  </si>
  <si>
    <t>#LCJCLJCJ8</t>
  </si>
  <si>
    <t>JellyFamDimes</t>
  </si>
  <si>
    <t>#QLPUPU9JR</t>
  </si>
  <si>
    <t>stevma2</t>
  </si>
  <si>
    <t>#LUQYR9YJJ</t>
  </si>
  <si>
    <t>GucciMane06</t>
  </si>
  <si>
    <t>#QL8RLVG0U</t>
  </si>
  <si>
    <t>......</t>
  </si>
  <si>
    <t>#LR0L89LUP</t>
  </si>
  <si>
    <t>bread god</t>
  </si>
  <si>
    <t>#QLVJQCUVP</t>
  </si>
  <si>
    <t>memekeidnjwinej</t>
  </si>
  <si>
    <t>#Y0VVCLL82</t>
  </si>
  <si>
    <t>Dank_Potato</t>
  </si>
  <si>
    <t>#LLVULC29V</t>
  </si>
  <si>
    <t>Dr. Pekka</t>
  </si>
  <si>
    <t>#8PYP2J02J</t>
  </si>
  <si>
    <t>Panther</t>
  </si>
  <si>
    <t>ReqReceiveN WAR</t>
  </si>
  <si>
    <t>#Q9VQPR0J8</t>
  </si>
  <si>
    <t>JP</t>
  </si>
  <si>
    <t>#PY098PLLQ</t>
  </si>
  <si>
    <t>Andy</t>
  </si>
  <si>
    <t>#P9JQYRJVL</t>
  </si>
  <si>
    <t>nini</t>
  </si>
  <si>
    <t>#L8CJQPGPR</t>
  </si>
  <si>
    <t>FRONTALGaming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</si>
  <si>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</si>
  <si>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</si>
  <si>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</si>
  <si>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</si>
  <si>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</si>
  <si>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</si>
  <si>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</si>
  <si>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</si>
  <si>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</si>
  <si>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</si>
  <si>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</si>
  <si>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</si>
  <si>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</si>
  <si>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</si>
  <si>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</si>
  <si>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</si>
  <si>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</si>
  <si>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</si>
  <si>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</si>
  <si>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</si>
  <si>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</si>
  <si>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</si>
  <si>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</si>
  <si>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</si>
  <si>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</si>
  <si>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</si>
  <si>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</si>
  <si>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</si>
  <si>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</si>
  <si>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</si>
  <si>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</si>
  <si>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</si>
  <si>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</si>
  <si>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</si>
  <si>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</si>
  <si>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</si>
  <si>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</si>
  <si>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</si>
  <si>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</si>
  <si>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</si>
  <si>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</si>
  <si>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</si>
  <si>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Player Tag</t>
  </si>
  <si>
    <t>CWL Role</t>
  </si>
  <si>
    <t>Backup Final</t>
  </si>
  <si>
    <t>Backup Rushed</t>
  </si>
  <si>
    <t>Other</t>
  </si>
  <si>
    <t>Backup Donor</t>
  </si>
  <si>
    <t>#JLRJ2GPV</t>
  </si>
  <si>
    <t>Bench</t>
  </si>
  <si>
    <t>Backup</t>
  </si>
  <si>
    <t>#9GU8C0QYJ</t>
  </si>
  <si>
    <t>#Q8C99VLU9</t>
  </si>
  <si>
    <t>Attacker</t>
  </si>
  <si>
    <t>#Q8ULJ2QY8</t>
  </si>
  <si>
    <t>#L20RJQU0Q</t>
  </si>
  <si>
    <t>#Q009JQ00L</t>
  </si>
  <si>
    <t>#LL0VLCRJU</t>
  </si>
  <si>
    <t>#QY8VPV8V9</t>
  </si>
  <si>
    <t>#2P9C8Y8R8</t>
  </si>
  <si>
    <t>#LPLY8LUCV</t>
  </si>
  <si>
    <t>#22P0J8L92</t>
  </si>
  <si>
    <t>#PYUUYP8L</t>
  </si>
  <si>
    <t>Attacking Donor</t>
  </si>
  <si>
    <t>#Y2RU9C00P</t>
  </si>
  <si>
    <t>#9PP22PVPR</t>
  </si>
  <si>
    <t>#L2U2RLR88</t>
  </si>
  <si>
    <t>#YLRRQQCPU</t>
  </si>
  <si>
    <t>#YCV2CQ280</t>
  </si>
  <si>
    <t>#YUY8PYPQ8</t>
  </si>
  <si>
    <t>#P898GYPUJ</t>
  </si>
  <si>
    <t>#YV2YJ2QGQ</t>
  </si>
  <si>
    <t>#YPV0JUQYU</t>
  </si>
  <si>
    <t>#LGGUJVRCJ</t>
  </si>
  <si>
    <t>#YUGQYUR0U</t>
  </si>
  <si>
    <t>#8QP9Y0PJR</t>
  </si>
  <si>
    <t>#JY09C9UJ</t>
  </si>
  <si>
    <t>#QPQLY992</t>
  </si>
  <si>
    <t>#PPQJG9G0V</t>
  </si>
  <si>
    <t>#8RR28YU2</t>
  </si>
  <si>
    <t>#GL9JRQR2</t>
  </si>
  <si>
    <t>Attacker Rushed</t>
  </si>
  <si>
    <t>Role</t>
  </si>
  <si>
    <t>Roles by TH</t>
  </si>
  <si>
    <t>Roles by Town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</si>
</sst>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DCDDDE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3BC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/>
    <xf numFmtId="0" fontId="16" fillId="0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ullrosterCWLro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rosterCWLro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02"/>
  <sheetViews>
    <sheetView tabSelected="1" topLeftCell="D1" workbookViewId="0">
      <selection activeCell="N28" sqref="N28"/>
    </sheetView>
  </sheetViews>
  <sheetFormatPr defaultRowHeight="15" x14ac:dyDescent="0.25"/>
  <cols>
    <col min="6" max="6" width="17.85546875" bestFit="1" customWidth="1"/>
    <col min="7" max="7" width="15.28515625" bestFit="1" customWidth="1"/>
    <col min="14" max="14" width="27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718</v>
      </c>
    </row>
    <row r="2" spans="1:26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G2" t="str">
        <f>VLOOKUP(A2,fullrosterCWLrole!$A$1:$B$300,2,FALSE)</f>
        <v>Attacker</v>
      </c>
      <c r="N2" s="5" t="s">
        <v>11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 t="s">
        <v>12</v>
      </c>
    </row>
    <row r="3" spans="1:26" x14ac:dyDescent="0.25">
      <c r="A3" t="s">
        <v>13</v>
      </c>
      <c r="B3" t="s">
        <v>14</v>
      </c>
      <c r="C3" t="s">
        <v>8</v>
      </c>
      <c r="D3">
        <v>13</v>
      </c>
      <c r="E3" t="s">
        <v>15</v>
      </c>
      <c r="F3" t="s">
        <v>10</v>
      </c>
      <c r="G3" t="str">
        <f>VLOOKUP(A3,fullrosterCWLrole!$A$1:$B$300,2,FALSE)</f>
        <v>Attacking Donor</v>
      </c>
      <c r="N3" s="5" t="s">
        <v>16</v>
      </c>
      <c r="O3" s="9">
        <f>COUNTIFS($D:$D,"=3",$F:$F,"Sheer Force")</f>
        <v>0</v>
      </c>
      <c r="P3" s="9">
        <f>COUNTIFS($D:$D,"=4",$F:$F,"Sheer Force")</f>
        <v>0</v>
      </c>
      <c r="Q3" s="9">
        <f>COUNTIFS($D:$D,"=5",$F:$F,"Sheer Force")</f>
        <v>0</v>
      </c>
      <c r="R3" s="9">
        <f>COUNTIFS($D:$D,"=6",$F:$F,"Sheer Force")</f>
        <v>0</v>
      </c>
      <c r="S3" s="9">
        <f>COUNTIFS($D:$D,"=7",$F:$F,"Sheer Force")</f>
        <v>2</v>
      </c>
      <c r="T3" s="9">
        <f>COUNTIFS($D:$D,"=8",$F:$F,"Sheer Force")</f>
        <v>4</v>
      </c>
      <c r="U3" s="9">
        <f>COUNTIFS($D:$D,"=9",$F:$F,"Sheer Force")</f>
        <v>18</v>
      </c>
      <c r="V3" s="9">
        <f>COUNTIFS($D:$D,"=10",$F:$F,"Sheer Force")</f>
        <v>13</v>
      </c>
      <c r="W3" s="9">
        <f>COUNTIFS($D:$D,"=11",$F:$F,"Sheer Force")</f>
        <v>6</v>
      </c>
      <c r="X3" s="9">
        <f>COUNTIFS($D:$D,"=12",$F:$F,"Sheer Force")</f>
        <v>4</v>
      </c>
      <c r="Y3" s="9">
        <f>COUNTIFS($D:$D,"=13",$F:$F,"Sheer Force")</f>
        <v>2</v>
      </c>
      <c r="Z3" s="9">
        <f>COUNTIFS($D:$D,"=14",$F:$F,"Sheer Force")</f>
        <v>1</v>
      </c>
    </row>
    <row r="4" spans="1:26" x14ac:dyDescent="0.25">
      <c r="A4" t="s">
        <v>17</v>
      </c>
      <c r="B4" t="s">
        <v>18</v>
      </c>
      <c r="C4" t="s">
        <v>8</v>
      </c>
      <c r="D4">
        <v>13</v>
      </c>
      <c r="E4" t="s">
        <v>19</v>
      </c>
      <c r="F4" t="s">
        <v>10</v>
      </c>
      <c r="G4" t="str">
        <f>VLOOKUP(A4,fullrosterCWLrole!$A$1:$B$300,2,FALSE)</f>
        <v>Backup Donor</v>
      </c>
      <c r="N4" s="5" t="s">
        <v>10</v>
      </c>
      <c r="O4" s="9">
        <f>COUNTIFS($D:$D,"=3",$F:$F,"Legendary Monks")</f>
        <v>0</v>
      </c>
      <c r="P4" s="9">
        <f>COUNTIFS($D:$D,"=4",$F:$F,"Legendary Monks")</f>
        <v>0</v>
      </c>
      <c r="Q4" s="9">
        <f>COUNTIFS($D:$D,"=5",$F:$F,"Legendary Monks")</f>
        <v>0</v>
      </c>
      <c r="R4" s="9">
        <f>COUNTIFS($D:$D,"=6",$F:$F,"Legendary Monks")</f>
        <v>0</v>
      </c>
      <c r="S4" s="9">
        <f>COUNTIFS($D:$D,"=7",$F:$F,"Legendary Monks")</f>
        <v>5</v>
      </c>
      <c r="T4" s="9">
        <f>COUNTIFS($D:$D,"=8",$F:$F,"Legendary Monks")</f>
        <v>18</v>
      </c>
      <c r="U4" s="9">
        <f>COUNTIFS($D:$D,"=9",$F:$F,"Legendary Monks")</f>
        <v>11</v>
      </c>
      <c r="V4" s="9">
        <f>COUNTIFS($D:$D,"=10",$F:$F,"Legendary Monks")</f>
        <v>4</v>
      </c>
      <c r="W4" s="9">
        <f>COUNTIFS($D:$D,"=11",$F:$F,"Legendary Monks")</f>
        <v>0</v>
      </c>
      <c r="X4" s="9">
        <f>COUNTIFS($D:$D,"=12",$F:$F,"Legendary Monks")</f>
        <v>2</v>
      </c>
      <c r="Y4" s="9">
        <f>COUNTIFS($D:$D,"=13",$F:$F,"Legendary Monks")</f>
        <v>2</v>
      </c>
      <c r="Z4" s="9">
        <f>COUNTIFS($D:$D,"=14",$F:$F,"Legendary Monks")</f>
        <v>2</v>
      </c>
    </row>
    <row r="5" spans="1:26" x14ac:dyDescent="0.25">
      <c r="A5" t="s">
        <v>20</v>
      </c>
      <c r="B5" t="s">
        <v>21</v>
      </c>
      <c r="C5" t="s">
        <v>22</v>
      </c>
      <c r="D5">
        <v>14</v>
      </c>
      <c r="E5" t="s">
        <v>23</v>
      </c>
      <c r="F5" t="s">
        <v>10</v>
      </c>
      <c r="G5" t="str">
        <f>VLOOKUP(A5,fullrosterCWLrole!$A$1:$B$300,2,FALSE)</f>
        <v>Attacking Donor</v>
      </c>
      <c r="N5" s="5" t="s">
        <v>24</v>
      </c>
      <c r="O5" s="9">
        <f>COUNTIFS($D:$D,"=3",$F:$F,"Golden Clan")</f>
        <v>1</v>
      </c>
      <c r="P5" s="9">
        <f>COUNTIFS($D:$D,"=4",$F:$F,"Golden Clan")</f>
        <v>1</v>
      </c>
      <c r="Q5" s="9">
        <f>COUNTIFS($D:$D,"=5",$F:$F,"Golden Clan")</f>
        <v>0</v>
      </c>
      <c r="R5" s="9">
        <f>COUNTIFS($D:$D,"=6",$F:$F,"Golden Clan")</f>
        <v>2</v>
      </c>
      <c r="S5" s="9">
        <f>COUNTIFS($D:$D,"=7",$F:$F,"Golden Clan")</f>
        <v>3</v>
      </c>
      <c r="T5" s="9">
        <f>COUNTIFS($D:$D,"=8",$F:$F,"Golden Clan")</f>
        <v>1</v>
      </c>
      <c r="U5" s="9">
        <f>COUNTIFS($D:$D,"=9",$F:$F,"Golden Clan")</f>
        <v>1</v>
      </c>
      <c r="V5" s="9">
        <f>COUNTIFS($D:$D,"=10",$F:$F,"Golden Clan")</f>
        <v>1</v>
      </c>
      <c r="W5" s="9">
        <f>COUNTIFS($D:$D,"=11",$F:$F,"Golden Clan")</f>
        <v>1</v>
      </c>
      <c r="X5" s="9">
        <f>COUNTIFS($D:$D,"=12",$F:$F,"Golden Clan")</f>
        <v>0</v>
      </c>
      <c r="Y5" s="9">
        <f>COUNTIFS($D:$D,"=13",$F:$F,"Golden Clan")</f>
        <v>1</v>
      </c>
      <c r="Z5" s="9">
        <f>COUNTIFS($D:$D,"=14",$F:$F,"Golden Clan")</f>
        <v>0</v>
      </c>
    </row>
    <row r="6" spans="1:26" x14ac:dyDescent="0.25">
      <c r="A6" t="s">
        <v>25</v>
      </c>
      <c r="B6" t="s">
        <v>26</v>
      </c>
      <c r="C6" t="s">
        <v>27</v>
      </c>
      <c r="D6">
        <v>12</v>
      </c>
      <c r="E6" t="s">
        <v>28</v>
      </c>
      <c r="F6" t="s">
        <v>10</v>
      </c>
      <c r="G6" t="str">
        <f>VLOOKUP(A6,fullrosterCWLrole!$A$1:$B$300,2,FALSE)</f>
        <v>Backup</v>
      </c>
      <c r="N6" s="5" t="s">
        <v>29</v>
      </c>
      <c r="O6" s="9">
        <f>COUNTIFS($D:$D,"=3",$F:$F,"Dark Matter")</f>
        <v>0</v>
      </c>
      <c r="P6" s="9">
        <f>COUNTIFS($D:$D,"=4",$F:$F,"Dark Matter")</f>
        <v>0</v>
      </c>
      <c r="Q6" s="9">
        <f>COUNTIFS($D:$D,"=5",$F:$F,"Dark Matter")</f>
        <v>0</v>
      </c>
      <c r="R6" s="9">
        <f>COUNTIFS($D:$D,"=6",$F:$F,"Dark Matter")</f>
        <v>0</v>
      </c>
      <c r="S6" s="9">
        <f>COUNTIFS($D:$D,"=7",$F:$F,"Dark Matter")</f>
        <v>0</v>
      </c>
      <c r="T6" s="9">
        <f>COUNTIFS($D:$D,"=8",$F:$F,"Dark Matter")</f>
        <v>0</v>
      </c>
      <c r="U6" s="9">
        <f>COUNTIFS($D:$D,"=9",$F:$F,"Dark Matter")</f>
        <v>1</v>
      </c>
      <c r="V6" s="9">
        <f>COUNTIFS($D:$D,"=10",$F:$F,"Dark Matter")</f>
        <v>11</v>
      </c>
      <c r="W6" s="9">
        <f>COUNTIFS($D:$D,"=11",$F:$F,"Dark Matter")</f>
        <v>13</v>
      </c>
      <c r="X6" s="9">
        <f>COUNTIFS($D:$D,"12",$F:$F,"Dark Matter")</f>
        <v>4</v>
      </c>
      <c r="Y6" s="9">
        <f>COUNTIFS($D:$D,"=13",$F:$F,"Dark Matter")</f>
        <v>9</v>
      </c>
      <c r="Z6" s="9">
        <f>COUNTIFS($D:$D,"=14",$F:$F,"Dark Matter")</f>
        <v>9</v>
      </c>
    </row>
    <row r="7" spans="1:26" x14ac:dyDescent="0.25">
      <c r="A7" t="s">
        <v>30</v>
      </c>
      <c r="B7" t="s">
        <v>31</v>
      </c>
      <c r="C7" t="s">
        <v>8</v>
      </c>
      <c r="D7">
        <v>10</v>
      </c>
      <c r="E7" t="s">
        <v>32</v>
      </c>
      <c r="F7" t="s">
        <v>10</v>
      </c>
      <c r="G7" t="str">
        <f>VLOOKUP(A7,fullrosterCWLrole!$A$1:$B$300,2,FALSE)</f>
        <v>Backup</v>
      </c>
      <c r="N7" s="5" t="s">
        <v>33</v>
      </c>
      <c r="O7" s="9">
        <f>COUNTIFS($D:$D,"=3",$F:$F,"Wookies")</f>
        <v>0</v>
      </c>
      <c r="P7" s="9">
        <f>COUNTIFS($D:$D,"=4",$F:$F,"Wookies")</f>
        <v>0</v>
      </c>
      <c r="Q7" s="9">
        <f>COUNTIFS($D:$D,"=5",$F:$F,"Wookies")</f>
        <v>0</v>
      </c>
      <c r="R7" s="9">
        <f>COUNTIFS($D:$D,"=6",$F:$F,"Wookies")</f>
        <v>0</v>
      </c>
      <c r="S7" s="9">
        <f>COUNTIFS($D:$D,"=7",$F:$F,"Wookies")</f>
        <v>0</v>
      </c>
      <c r="T7" s="9">
        <f>COUNTIFS($D:$D,"=8",$F:$F,"Wookies")</f>
        <v>0</v>
      </c>
      <c r="U7" s="9">
        <f>COUNTIFS($D:$D,"=9",$F:$F,"Wookies")</f>
        <v>0</v>
      </c>
      <c r="V7" s="9">
        <f>COUNTIFS($D:$D,"=10",$F:$F,"Wookies")</f>
        <v>0</v>
      </c>
      <c r="W7" s="9">
        <f>COUNTIFS($D:$D,"=11",$F:$F,"Wookies")</f>
        <v>1</v>
      </c>
      <c r="X7" s="9">
        <f>COUNTIFS($D:$D,"=12",$F:$F,"Wookies")</f>
        <v>0</v>
      </c>
      <c r="Y7" s="9">
        <f>COUNTIFS($D:$D,"=13",$F:$F,"Wookies")</f>
        <v>0</v>
      </c>
      <c r="Z7" s="9">
        <f>COUNTIFS($D:$D,"=14",$F:$F,"Wookies")</f>
        <v>0</v>
      </c>
    </row>
    <row r="8" spans="1:26" x14ac:dyDescent="0.25">
      <c r="A8" t="s">
        <v>34</v>
      </c>
      <c r="B8" t="s">
        <v>35</v>
      </c>
      <c r="C8" t="s">
        <v>8</v>
      </c>
      <c r="D8">
        <v>9</v>
      </c>
      <c r="E8" t="s">
        <v>36</v>
      </c>
      <c r="F8" t="s">
        <v>10</v>
      </c>
      <c r="G8" t="str">
        <f>VLOOKUP(A8,fullrosterCWLrole!$A$1:$B$300,2,FALSE)</f>
        <v>Attacker</v>
      </c>
      <c r="N8" s="5" t="s">
        <v>37</v>
      </c>
      <c r="O8" s="9">
        <f>SUM(O3:O7)</f>
        <v>1</v>
      </c>
      <c r="P8" s="9">
        <f t="shared" ref="P8:Z8" si="0">SUM(P3:P7)</f>
        <v>1</v>
      </c>
      <c r="Q8" s="9">
        <f t="shared" si="0"/>
        <v>0</v>
      </c>
      <c r="R8" s="9">
        <f t="shared" si="0"/>
        <v>2</v>
      </c>
      <c r="S8" s="9">
        <f t="shared" si="0"/>
        <v>10</v>
      </c>
      <c r="T8" s="13">
        <f t="shared" si="0"/>
        <v>23</v>
      </c>
      <c r="U8" s="13">
        <f t="shared" si="0"/>
        <v>31</v>
      </c>
      <c r="V8" s="9">
        <f t="shared" si="0"/>
        <v>29</v>
      </c>
      <c r="W8" s="9">
        <f t="shared" si="0"/>
        <v>21</v>
      </c>
      <c r="X8" s="9">
        <f t="shared" si="0"/>
        <v>10</v>
      </c>
      <c r="Y8" s="9">
        <f t="shared" si="0"/>
        <v>14</v>
      </c>
      <c r="Z8" s="9">
        <f t="shared" si="0"/>
        <v>12</v>
      </c>
    </row>
    <row r="9" spans="1:26" x14ac:dyDescent="0.25">
      <c r="A9" t="s">
        <v>38</v>
      </c>
      <c r="B9" t="s">
        <v>39</v>
      </c>
      <c r="C9" t="s">
        <v>22</v>
      </c>
      <c r="D9">
        <v>10</v>
      </c>
      <c r="E9" t="s">
        <v>36</v>
      </c>
      <c r="F9" t="s">
        <v>10</v>
      </c>
      <c r="G9" t="str">
        <f>VLOOKUP(A9,fullrosterCWLrole!$A$1:$B$300,2,FALSE)</f>
        <v>Attacker</v>
      </c>
      <c r="T9" s="14" t="s">
        <v>40</v>
      </c>
      <c r="U9" s="2">
        <f>SUM(O8:Z8)</f>
        <v>154</v>
      </c>
    </row>
    <row r="10" spans="1:26" x14ac:dyDescent="0.25">
      <c r="A10" t="s">
        <v>41</v>
      </c>
      <c r="B10" t="s">
        <v>42</v>
      </c>
      <c r="C10" t="s">
        <v>8</v>
      </c>
      <c r="D10">
        <v>10</v>
      </c>
      <c r="E10" t="s">
        <v>36</v>
      </c>
      <c r="F10" t="s">
        <v>10</v>
      </c>
      <c r="G10" t="str">
        <f>VLOOKUP(A10,fullrosterCWLrole!$A$1:$B$300,2,FALSE)</f>
        <v>Backup</v>
      </c>
      <c r="I10" s="4" t="s">
        <v>43</v>
      </c>
      <c r="J10" s="4"/>
      <c r="K10" s="4"/>
      <c r="L10" s="4"/>
      <c r="N10" s="5" t="s">
        <v>44</v>
      </c>
      <c r="O10" s="9" t="s">
        <v>45</v>
      </c>
      <c r="P10" s="9">
        <v>15</v>
      </c>
      <c r="Q10" s="9">
        <v>30</v>
      </c>
      <c r="S10" s="2" t="s">
        <v>46</v>
      </c>
      <c r="T10" s="2"/>
    </row>
    <row r="11" spans="1:26" x14ac:dyDescent="0.25">
      <c r="A11" t="s">
        <v>47</v>
      </c>
      <c r="B11" t="s">
        <v>48</v>
      </c>
      <c r="C11" t="s">
        <v>8</v>
      </c>
      <c r="D11">
        <v>9</v>
      </c>
      <c r="E11" t="s">
        <v>36</v>
      </c>
      <c r="F11" t="s">
        <v>10</v>
      </c>
      <c r="G11" t="str">
        <f>VLOOKUP(A11,fullrosterCWLrole!$A$1:$B$300,2,FALSE)</f>
        <v>Attacker</v>
      </c>
      <c r="I11" s="5" t="s">
        <v>49</v>
      </c>
      <c r="J11" s="6" t="s">
        <v>50</v>
      </c>
      <c r="K11" s="6"/>
      <c r="L11" s="6"/>
      <c r="N11" s="5" t="s">
        <v>51</v>
      </c>
      <c r="O11" s="9">
        <f>SUM(Y3:Y7)</f>
        <v>14</v>
      </c>
      <c r="P11" s="9" t="str">
        <f>_xlfn.IFS(O11=15,"Green",O11&lt;15,"Red",O11&gt;18,"Look-&gt;")</f>
        <v>Red</v>
      </c>
      <c r="Q11" s="9" t="str">
        <f>_xlfn.IFS(P11="Red","",O11&lt;29,"Tile",O11&gt;33,"Over",O11&gt;31,"Within",O11=30,"Green")</f>
        <v/>
      </c>
      <c r="S11" s="2"/>
      <c r="T11" s="2"/>
    </row>
    <row r="12" spans="1:26" x14ac:dyDescent="0.25">
      <c r="A12" t="s">
        <v>53</v>
      </c>
      <c r="B12" t="s">
        <v>54</v>
      </c>
      <c r="C12" t="s">
        <v>8</v>
      </c>
      <c r="D12">
        <v>9</v>
      </c>
      <c r="E12" t="s">
        <v>55</v>
      </c>
      <c r="F12" t="s">
        <v>10</v>
      </c>
      <c r="G12" t="str">
        <f>VLOOKUP(A12,fullrosterCWLrole!$A$1:$B$300,2,FALSE)</f>
        <v>Attacker</v>
      </c>
      <c r="I12" s="7" t="s">
        <v>52</v>
      </c>
      <c r="J12" s="3" t="s">
        <v>56</v>
      </c>
      <c r="K12" s="3"/>
      <c r="L12" s="3"/>
      <c r="N12" s="5" t="s">
        <v>57</v>
      </c>
      <c r="O12" s="9">
        <f>SUM(V2:W2)+(U3)</f>
        <v>39</v>
      </c>
      <c r="P12" s="9" t="str">
        <f t="shared" ref="P12:P16" si="1">_xlfn.IFS(O12=15,"Green",O12&lt;15,"Red",O12&gt;18,"Look-&gt;")</f>
        <v>Look-&gt;</v>
      </c>
      <c r="Q12" s="9" t="str">
        <f t="shared" ref="Q12:Q16" si="2">_xlfn.IFS(P12="Red","",O12&lt;29,"Tile",O12&gt;33,"Over",O12&gt;31,"Within",O12=30,"Green")</f>
        <v>Over</v>
      </c>
      <c r="S12" s="2"/>
      <c r="T12" s="2"/>
    </row>
    <row r="13" spans="1:26" x14ac:dyDescent="0.25">
      <c r="A13" t="s">
        <v>59</v>
      </c>
      <c r="B13" t="s">
        <v>60</v>
      </c>
      <c r="C13" t="s">
        <v>8</v>
      </c>
      <c r="D13">
        <v>12</v>
      </c>
      <c r="E13" t="s">
        <v>55</v>
      </c>
      <c r="F13" t="s">
        <v>10</v>
      </c>
      <c r="G13" t="str">
        <f>VLOOKUP(A13,fullrosterCWLrole!$A$1:$B$300,2,FALSE)</f>
        <v>Backup Final</v>
      </c>
      <c r="I13" s="8" t="s">
        <v>61</v>
      </c>
      <c r="J13" s="9" t="s">
        <v>62</v>
      </c>
      <c r="K13" s="9"/>
      <c r="L13" s="9"/>
      <c r="N13" s="5" t="s">
        <v>63</v>
      </c>
      <c r="O13" s="9">
        <f>SUM(V3:W3)+SUM(U4)</f>
        <v>30</v>
      </c>
      <c r="P13" s="9" t="str">
        <f t="shared" si="1"/>
        <v>Look-&gt;</v>
      </c>
      <c r="Q13" s="9" t="str">
        <f t="shared" si="2"/>
        <v>Green</v>
      </c>
      <c r="S13" s="2"/>
      <c r="T13" s="2"/>
    </row>
    <row r="14" spans="1:26" x14ac:dyDescent="0.25">
      <c r="A14" t="s">
        <v>65</v>
      </c>
      <c r="B14" t="s">
        <v>66</v>
      </c>
      <c r="C14" t="s">
        <v>8</v>
      </c>
      <c r="D14">
        <v>10</v>
      </c>
      <c r="E14" t="s">
        <v>55</v>
      </c>
      <c r="F14" t="s">
        <v>10</v>
      </c>
      <c r="G14" t="str">
        <f>VLOOKUP(A14,fullrosterCWLrole!$A$1:$B$300,2,FALSE)</f>
        <v>Backup</v>
      </c>
      <c r="I14" s="10" t="s">
        <v>64</v>
      </c>
      <c r="J14" s="9" t="s">
        <v>67</v>
      </c>
      <c r="K14" s="9"/>
      <c r="L14" s="9"/>
      <c r="N14" s="5" t="s">
        <v>68</v>
      </c>
      <c r="O14" s="9">
        <f>SUM(V4+V6)+SUM(W4+W6)+U3</f>
        <v>46</v>
      </c>
      <c r="P14" s="9" t="str">
        <f t="shared" si="1"/>
        <v>Look-&gt;</v>
      </c>
      <c r="Q14" s="9" t="str">
        <f t="shared" si="2"/>
        <v>Over</v>
      </c>
      <c r="S14" s="2"/>
      <c r="T14" s="2"/>
    </row>
    <row r="15" spans="1:26" x14ac:dyDescent="0.25">
      <c r="A15" t="s">
        <v>69</v>
      </c>
      <c r="B15" t="s">
        <v>70</v>
      </c>
      <c r="C15" t="s">
        <v>27</v>
      </c>
      <c r="D15">
        <v>8</v>
      </c>
      <c r="E15" t="s">
        <v>71</v>
      </c>
      <c r="F15" t="s">
        <v>10</v>
      </c>
      <c r="G15" t="str">
        <f>VLOOKUP(A15,fullrosterCWLrole!$A$1:$B$300,2,FALSE)</f>
        <v>Attacker</v>
      </c>
      <c r="I15" s="3"/>
      <c r="J15" s="3"/>
      <c r="K15" s="3"/>
      <c r="L15" s="3"/>
      <c r="N15" s="5" t="s">
        <v>72</v>
      </c>
      <c r="O15" s="9">
        <f>SUM(S3:T7)</f>
        <v>33</v>
      </c>
      <c r="P15" s="9" t="str">
        <f t="shared" si="1"/>
        <v>Look-&gt;</v>
      </c>
      <c r="Q15" s="9" t="str">
        <f t="shared" si="2"/>
        <v>Within</v>
      </c>
      <c r="S15" s="2"/>
      <c r="T15" s="2"/>
    </row>
    <row r="16" spans="1:26" x14ac:dyDescent="0.25">
      <c r="A16" t="s">
        <v>73</v>
      </c>
      <c r="B16" t="s">
        <v>74</v>
      </c>
      <c r="C16" t="s">
        <v>8</v>
      </c>
      <c r="D16">
        <v>9</v>
      </c>
      <c r="E16" t="s">
        <v>71</v>
      </c>
      <c r="F16" t="s">
        <v>10</v>
      </c>
      <c r="G16" t="str">
        <f>VLOOKUP(A16,fullrosterCWLrole!$A$1:$B$300,2,FALSE)</f>
        <v>Attacker</v>
      </c>
      <c r="I16" s="11" t="s">
        <v>75</v>
      </c>
      <c r="J16" s="9" t="s">
        <v>76</v>
      </c>
      <c r="K16" s="9"/>
      <c r="L16" s="9"/>
      <c r="N16" s="9" t="s">
        <v>77</v>
      </c>
      <c r="O16" s="9">
        <f>SUM(S3:U7)</f>
        <v>64</v>
      </c>
      <c r="P16" s="9" t="str">
        <f t="shared" si="1"/>
        <v>Look-&gt;</v>
      </c>
      <c r="Q16" s="9" t="str">
        <f t="shared" si="2"/>
        <v>Over</v>
      </c>
    </row>
    <row r="17" spans="1:27" x14ac:dyDescent="0.25">
      <c r="A17" t="s">
        <v>78</v>
      </c>
      <c r="B17" t="s">
        <v>79</v>
      </c>
      <c r="C17" t="s">
        <v>8</v>
      </c>
      <c r="D17">
        <v>9</v>
      </c>
      <c r="E17" t="s">
        <v>71</v>
      </c>
      <c r="F17" t="s">
        <v>10</v>
      </c>
      <c r="G17" t="str">
        <f>VLOOKUP(A17,fullrosterCWLrole!$A$1:$B$300,2,FALSE)</f>
        <v>Backup</v>
      </c>
      <c r="I17" s="12" t="s">
        <v>58</v>
      </c>
      <c r="J17" s="9" t="s">
        <v>80</v>
      </c>
      <c r="K17" s="9"/>
      <c r="L17" s="9"/>
    </row>
    <row r="18" spans="1:27" x14ac:dyDescent="0.25">
      <c r="A18" t="s">
        <v>81</v>
      </c>
      <c r="B18" t="s">
        <v>82</v>
      </c>
      <c r="C18" t="s">
        <v>8</v>
      </c>
      <c r="D18">
        <v>9</v>
      </c>
      <c r="E18" t="s">
        <v>83</v>
      </c>
      <c r="F18" t="s">
        <v>10</v>
      </c>
      <c r="G18" t="e">
        <f>VLOOKUP(A18,fullrosterCWLrole!$A$1:$B$300,2,FALSE)</f>
        <v>#N/A</v>
      </c>
      <c r="N18" s="15" t="s">
        <v>720</v>
      </c>
      <c r="O18" s="9">
        <v>3</v>
      </c>
      <c r="P18" s="9">
        <v>4</v>
      </c>
      <c r="Q18" s="9">
        <v>5</v>
      </c>
      <c r="R18" s="9">
        <v>6</v>
      </c>
      <c r="S18" s="9">
        <v>7</v>
      </c>
      <c r="T18" s="9">
        <v>8</v>
      </c>
      <c r="U18" s="9">
        <v>9</v>
      </c>
      <c r="V18" s="9">
        <v>10</v>
      </c>
      <c r="W18" s="9">
        <v>11</v>
      </c>
      <c r="X18" s="9">
        <v>12</v>
      </c>
      <c r="Y18" s="9">
        <v>13</v>
      </c>
      <c r="Z18" s="9" t="s">
        <v>12</v>
      </c>
    </row>
    <row r="19" spans="1:27" x14ac:dyDescent="0.25">
      <c r="A19" t="s">
        <v>84</v>
      </c>
      <c r="B19" t="s">
        <v>85</v>
      </c>
      <c r="C19" t="s">
        <v>8</v>
      </c>
      <c r="D19">
        <v>9</v>
      </c>
      <c r="E19" t="s">
        <v>86</v>
      </c>
      <c r="F19" t="s">
        <v>10</v>
      </c>
      <c r="G19" t="str">
        <f>VLOOKUP(A19,fullrosterCWLrole!$A$1:$B$300,2,FALSE)</f>
        <v>Attacker</v>
      </c>
      <c r="N19" s="15" t="s">
        <v>689</v>
      </c>
      <c r="O19" s="9">
        <f>COUNTIFS($D:$D,3,$G:$G,N19)</f>
        <v>0</v>
      </c>
      <c r="P19" s="9">
        <f>COUNTIFS($D:$D,4,$G:$G,$O19)</f>
        <v>0</v>
      </c>
      <c r="Q19" s="9">
        <f>COUNTIFS($D:$D,5,$G:$G,$N19)</f>
        <v>0</v>
      </c>
      <c r="R19" s="9">
        <f>COUNTIFS($D:$D,6,$G:$G,$N19)</f>
        <v>0</v>
      </c>
      <c r="S19" s="9">
        <f>COUNTIFS($D:$D,7,$G:$G,$N19)</f>
        <v>1</v>
      </c>
      <c r="T19" s="9">
        <f>COUNTIFS($D:$D,8,$G:$G,$N19)</f>
        <v>10</v>
      </c>
      <c r="U19" s="9">
        <f>COUNTIFS($D:$D,9,$G:$G,$N19)</f>
        <v>15</v>
      </c>
      <c r="V19" s="9">
        <f>COUNTIFS($D:$D,10,$G:$G,$N19)</f>
        <v>21</v>
      </c>
      <c r="W19" s="9">
        <f>COUNTIFS($D:$D,11,$G:$G,$N19)</f>
        <v>14</v>
      </c>
      <c r="X19" s="9">
        <f>COUNTIFS($D:$D,12,$G:$G,$N19)</f>
        <v>7</v>
      </c>
      <c r="Y19" s="9">
        <f>COUNTIFS($D:$D,13,$G:$G,$N19)</f>
        <v>8</v>
      </c>
      <c r="Z19" s="9">
        <f>COUNTIFS($D:$D,14,$G:$G,$N19)</f>
        <v>9</v>
      </c>
    </row>
    <row r="20" spans="1:27" x14ac:dyDescent="0.25">
      <c r="A20" t="s">
        <v>87</v>
      </c>
      <c r="B20" t="s">
        <v>88</v>
      </c>
      <c r="C20" t="s">
        <v>8</v>
      </c>
      <c r="D20">
        <v>9</v>
      </c>
      <c r="E20" t="s">
        <v>86</v>
      </c>
      <c r="F20" t="s">
        <v>10</v>
      </c>
      <c r="G20" t="str">
        <f>VLOOKUP(A20,fullrosterCWLrole!$A$1:$B$300,2,FALSE)</f>
        <v>Attacker</v>
      </c>
      <c r="N20" s="15" t="s">
        <v>699</v>
      </c>
      <c r="O20" s="9">
        <f t="shared" ref="O20:O25" si="3">COUNTIFS($D:$D,3,$G:$G,N20)</f>
        <v>0</v>
      </c>
      <c r="P20" s="9">
        <f t="shared" ref="P20:P26" si="4">COUNTIFS($D:$D,4,$G:$G,$O20)</f>
        <v>0</v>
      </c>
      <c r="Q20" s="9">
        <f t="shared" ref="Q20:Q25" si="5">COUNTIFS($D:$D,5,$G:$G,$N20)</f>
        <v>0</v>
      </c>
      <c r="R20" s="9">
        <f t="shared" ref="R20:R25" si="6">COUNTIFS($D:$D,6,$G:$G,$N20)</f>
        <v>0</v>
      </c>
      <c r="S20" s="9">
        <f t="shared" ref="S20:S25" si="7">COUNTIFS($D:$D,7,$G:$G,$N20)</f>
        <v>0</v>
      </c>
      <c r="T20" s="9">
        <f t="shared" ref="T20:T25" si="8">COUNTIFS($D:$D,8,$G:$G,$N20)</f>
        <v>0</v>
      </c>
      <c r="U20" s="9">
        <f t="shared" ref="U20:U25" si="9">COUNTIFS($D:$D,9,$G:$G,$N20)</f>
        <v>0</v>
      </c>
      <c r="V20" s="9">
        <f t="shared" ref="V20:V25" si="10">COUNTIFS($D:$D,10,$G:$G,$N20)</f>
        <v>0</v>
      </c>
      <c r="W20" s="9">
        <f t="shared" ref="W20:W25" si="11">COUNTIFS($D:$D,11,$G:$G,$N20)</f>
        <v>0</v>
      </c>
      <c r="X20" s="9">
        <f t="shared" ref="X20:X25" si="12">COUNTIFS($D:$D,12,$G:$G,$N20)</f>
        <v>0</v>
      </c>
      <c r="Y20" s="9">
        <f t="shared" ref="Y20:Y25" si="13">COUNTIFS($D:$D,13,$G:$G,$N20)</f>
        <v>2</v>
      </c>
      <c r="Z20" s="9">
        <f t="shared" ref="Z20:Z25" si="14">COUNTIFS($D:$D,14,$G:$G,$N20)</f>
        <v>4</v>
      </c>
    </row>
    <row r="21" spans="1:27" x14ac:dyDescent="0.25">
      <c r="A21" t="s">
        <v>89</v>
      </c>
      <c r="B21" t="s">
        <v>90</v>
      </c>
      <c r="C21" t="s">
        <v>8</v>
      </c>
      <c r="D21">
        <v>9</v>
      </c>
      <c r="E21" t="s">
        <v>86</v>
      </c>
      <c r="F21" t="s">
        <v>10</v>
      </c>
      <c r="G21" t="str">
        <f>VLOOKUP(A21,fullrosterCWLrole!$A$1:$B$300,2,FALSE)</f>
        <v>Attacker</v>
      </c>
      <c r="N21" s="15" t="s">
        <v>686</v>
      </c>
      <c r="O21" s="9">
        <f t="shared" si="3"/>
        <v>2</v>
      </c>
      <c r="P21" s="9">
        <f t="shared" si="4"/>
        <v>0</v>
      </c>
      <c r="Q21" s="9">
        <f t="shared" si="5"/>
        <v>3</v>
      </c>
      <c r="R21" s="9">
        <f t="shared" si="6"/>
        <v>9</v>
      </c>
      <c r="S21" s="9">
        <f t="shared" si="7"/>
        <v>5</v>
      </c>
      <c r="T21" s="9">
        <f t="shared" si="8"/>
        <v>3</v>
      </c>
      <c r="U21" s="9">
        <f t="shared" si="9"/>
        <v>3</v>
      </c>
      <c r="V21" s="9">
        <f t="shared" si="10"/>
        <v>3</v>
      </c>
      <c r="W21" s="9">
        <f t="shared" si="11"/>
        <v>2</v>
      </c>
      <c r="X21" s="9">
        <f t="shared" si="12"/>
        <v>2</v>
      </c>
      <c r="Y21" s="9">
        <f t="shared" si="13"/>
        <v>0</v>
      </c>
      <c r="Z21" s="9">
        <f t="shared" si="14"/>
        <v>0</v>
      </c>
    </row>
    <row r="22" spans="1:27" x14ac:dyDescent="0.25">
      <c r="A22" t="s">
        <v>91</v>
      </c>
      <c r="B22" t="s">
        <v>92</v>
      </c>
      <c r="C22" t="s">
        <v>8</v>
      </c>
      <c r="D22">
        <v>8</v>
      </c>
      <c r="E22" t="s">
        <v>86</v>
      </c>
      <c r="F22" t="s">
        <v>10</v>
      </c>
      <c r="G22" t="e">
        <f>VLOOKUP(A22,fullrosterCWLrole!$A$1:$B$300,2,FALSE)</f>
        <v>#N/A</v>
      </c>
      <c r="N22" s="15" t="s">
        <v>683</v>
      </c>
      <c r="O22" s="9">
        <f t="shared" si="3"/>
        <v>0</v>
      </c>
      <c r="P22" s="9">
        <f t="shared" si="4"/>
        <v>0</v>
      </c>
      <c r="Q22" s="9">
        <f t="shared" si="5"/>
        <v>0</v>
      </c>
      <c r="R22" s="9">
        <f t="shared" si="6"/>
        <v>0</v>
      </c>
      <c r="S22" s="9">
        <f t="shared" si="7"/>
        <v>0</v>
      </c>
      <c r="T22" s="9">
        <f t="shared" si="8"/>
        <v>0</v>
      </c>
      <c r="U22" s="9">
        <f t="shared" si="9"/>
        <v>0</v>
      </c>
      <c r="V22" s="9">
        <f t="shared" si="10"/>
        <v>0</v>
      </c>
      <c r="W22" s="9">
        <f t="shared" si="11"/>
        <v>0</v>
      </c>
      <c r="X22" s="9">
        <f t="shared" si="12"/>
        <v>0</v>
      </c>
      <c r="Y22" s="9">
        <f t="shared" si="13"/>
        <v>2</v>
      </c>
      <c r="Z22" s="9">
        <f t="shared" si="14"/>
        <v>1</v>
      </c>
    </row>
    <row r="23" spans="1:27" x14ac:dyDescent="0.25">
      <c r="A23" t="s">
        <v>93</v>
      </c>
      <c r="B23" t="s">
        <v>94</v>
      </c>
      <c r="C23" t="s">
        <v>8</v>
      </c>
      <c r="D23">
        <v>8</v>
      </c>
      <c r="E23" t="s">
        <v>86</v>
      </c>
      <c r="F23" t="s">
        <v>10</v>
      </c>
      <c r="G23" t="str">
        <f>VLOOKUP(A23,fullrosterCWLrole!$A$1:$B$300,2,FALSE)</f>
        <v>Attacker</v>
      </c>
      <c r="N23" s="15" t="s">
        <v>680</v>
      </c>
      <c r="O23" s="9">
        <f t="shared" si="3"/>
        <v>1</v>
      </c>
      <c r="P23" s="9">
        <f t="shared" si="4"/>
        <v>0</v>
      </c>
      <c r="Q23" s="9">
        <f t="shared" si="5"/>
        <v>0</v>
      </c>
      <c r="R23" s="9">
        <f t="shared" si="6"/>
        <v>0</v>
      </c>
      <c r="S23" s="9">
        <f t="shared" si="7"/>
        <v>1</v>
      </c>
      <c r="T23" s="9">
        <f t="shared" si="8"/>
        <v>4</v>
      </c>
      <c r="U23" s="9">
        <f t="shared" si="9"/>
        <v>2</v>
      </c>
      <c r="V23" s="9">
        <f t="shared" si="10"/>
        <v>1</v>
      </c>
      <c r="W23" s="9">
        <f t="shared" si="11"/>
        <v>3</v>
      </c>
      <c r="X23" s="9">
        <f t="shared" si="12"/>
        <v>2</v>
      </c>
      <c r="Y23" s="9">
        <f t="shared" si="13"/>
        <v>1</v>
      </c>
      <c r="Z23" s="9">
        <f t="shared" si="14"/>
        <v>0</v>
      </c>
    </row>
    <row r="24" spans="1:27" x14ac:dyDescent="0.25">
      <c r="A24" t="s">
        <v>95</v>
      </c>
      <c r="B24" t="s">
        <v>96</v>
      </c>
      <c r="C24" t="s">
        <v>8</v>
      </c>
      <c r="D24">
        <v>8</v>
      </c>
      <c r="E24" t="s">
        <v>86</v>
      </c>
      <c r="F24" t="s">
        <v>10</v>
      </c>
      <c r="G24" t="e">
        <f>VLOOKUP(A24,fullrosterCWLrole!$A$1:$B$300,2,FALSE)</f>
        <v>#N/A</v>
      </c>
      <c r="N24" s="15" t="s">
        <v>685</v>
      </c>
      <c r="O24" s="9">
        <f t="shared" si="3"/>
        <v>0</v>
      </c>
      <c r="P24" s="9">
        <f t="shared" si="4"/>
        <v>0</v>
      </c>
      <c r="Q24" s="9">
        <f t="shared" si="5"/>
        <v>0</v>
      </c>
      <c r="R24" s="9">
        <f t="shared" si="6"/>
        <v>1</v>
      </c>
      <c r="S24" s="9">
        <f t="shared" si="7"/>
        <v>0</v>
      </c>
      <c r="T24" s="9">
        <f t="shared" si="8"/>
        <v>1</v>
      </c>
      <c r="U24" s="9">
        <f t="shared" si="9"/>
        <v>0</v>
      </c>
      <c r="V24" s="9">
        <f t="shared" si="10"/>
        <v>0</v>
      </c>
      <c r="W24" s="9">
        <f t="shared" si="11"/>
        <v>0</v>
      </c>
      <c r="X24" s="9">
        <f t="shared" si="12"/>
        <v>0</v>
      </c>
      <c r="Y24" s="9">
        <f t="shared" si="13"/>
        <v>2</v>
      </c>
      <c r="Z24" s="9">
        <f t="shared" si="14"/>
        <v>0</v>
      </c>
    </row>
    <row r="25" spans="1:27" x14ac:dyDescent="0.25">
      <c r="A25" t="s">
        <v>97</v>
      </c>
      <c r="B25" t="s">
        <v>98</v>
      </c>
      <c r="C25" t="s">
        <v>8</v>
      </c>
      <c r="D25">
        <v>8</v>
      </c>
      <c r="E25" t="s">
        <v>86</v>
      </c>
      <c r="F25" t="s">
        <v>10</v>
      </c>
      <c r="G25" t="str">
        <f>VLOOKUP(A25,fullrosterCWLrole!$A$1:$B$300,2,FALSE)</f>
        <v>Attacker</v>
      </c>
      <c r="N25" s="15" t="s">
        <v>682</v>
      </c>
      <c r="O25" s="9">
        <f t="shared" si="3"/>
        <v>2</v>
      </c>
      <c r="P25" s="9">
        <f t="shared" si="4"/>
        <v>0</v>
      </c>
      <c r="Q25" s="9">
        <f t="shared" si="5"/>
        <v>1</v>
      </c>
      <c r="R25" s="9">
        <f t="shared" si="6"/>
        <v>1</v>
      </c>
      <c r="S25" s="9">
        <f t="shared" si="7"/>
        <v>2</v>
      </c>
      <c r="T25" s="9">
        <f t="shared" si="8"/>
        <v>2</v>
      </c>
      <c r="U25" s="9">
        <f t="shared" si="9"/>
        <v>6</v>
      </c>
      <c r="V25" s="9">
        <f t="shared" si="10"/>
        <v>3</v>
      </c>
      <c r="W25" s="9">
        <f t="shared" si="11"/>
        <v>3</v>
      </c>
      <c r="X25" s="9">
        <f t="shared" si="12"/>
        <v>0</v>
      </c>
      <c r="Y25" s="9">
        <f t="shared" si="13"/>
        <v>0</v>
      </c>
      <c r="Z25" s="9">
        <f t="shared" si="14"/>
        <v>0</v>
      </c>
    </row>
    <row r="26" spans="1:27" x14ac:dyDescent="0.25">
      <c r="A26" t="s">
        <v>99</v>
      </c>
      <c r="B26" t="s">
        <v>100</v>
      </c>
      <c r="C26" t="s">
        <v>8</v>
      </c>
      <c r="D26">
        <v>7</v>
      </c>
      <c r="E26" t="s">
        <v>86</v>
      </c>
      <c r="F26" t="s">
        <v>10</v>
      </c>
      <c r="G26" t="e">
        <f>VLOOKUP(A26,fullrosterCWLrole!$A$1:$B$300,2,FALSE)</f>
        <v>#N/A</v>
      </c>
    </row>
    <row r="27" spans="1:27" x14ac:dyDescent="0.25">
      <c r="A27" t="s">
        <v>101</v>
      </c>
      <c r="B27" t="s">
        <v>102</v>
      </c>
      <c r="C27" t="s">
        <v>8</v>
      </c>
      <c r="D27">
        <v>8</v>
      </c>
      <c r="E27" t="s">
        <v>103</v>
      </c>
      <c r="F27" t="s">
        <v>10</v>
      </c>
      <c r="G27" t="str">
        <f>VLOOKUP(A27,fullrosterCWLrole!$A$1:$B$300,2,FALSE)</f>
        <v>Other</v>
      </c>
    </row>
    <row r="28" spans="1:27" x14ac:dyDescent="0.25">
      <c r="A28" t="s">
        <v>104</v>
      </c>
      <c r="B28" t="s">
        <v>105</v>
      </c>
      <c r="C28" t="s">
        <v>8</v>
      </c>
      <c r="D28">
        <v>8</v>
      </c>
      <c r="E28" t="s">
        <v>103</v>
      </c>
      <c r="F28" t="s">
        <v>10</v>
      </c>
      <c r="G28" t="str">
        <f>VLOOKUP(A28,fullrosterCWLrole!$A$1:$B$300,2,FALSE)</f>
        <v>Bench</v>
      </c>
    </row>
    <row r="29" spans="1:27" x14ac:dyDescent="0.25">
      <c r="A29" t="s">
        <v>106</v>
      </c>
      <c r="B29" t="s">
        <v>107</v>
      </c>
      <c r="C29" t="s">
        <v>8</v>
      </c>
      <c r="D29">
        <v>8</v>
      </c>
      <c r="E29" t="s">
        <v>103</v>
      </c>
      <c r="F29" t="s">
        <v>10</v>
      </c>
      <c r="G29" t="e">
        <f>VLOOKUP(A29,fullrosterCWLrole!$A$1:$B$300,2,FALSE)</f>
        <v>#N/A</v>
      </c>
      <c r="V29" t="s">
        <v>719</v>
      </c>
      <c r="W29" t="s">
        <v>16</v>
      </c>
      <c r="X29" t="s">
        <v>10</v>
      </c>
      <c r="Y29" t="s">
        <v>24</v>
      </c>
      <c r="Z29" t="s">
        <v>29</v>
      </c>
      <c r="AA29" t="s">
        <v>33</v>
      </c>
    </row>
    <row r="30" spans="1:27" x14ac:dyDescent="0.25">
      <c r="A30" t="s">
        <v>108</v>
      </c>
      <c r="B30" t="s">
        <v>109</v>
      </c>
      <c r="C30" t="s">
        <v>8</v>
      </c>
      <c r="D30">
        <v>8</v>
      </c>
      <c r="E30" t="s">
        <v>103</v>
      </c>
      <c r="F30" t="s">
        <v>10</v>
      </c>
      <c r="G30" t="str">
        <f>VLOOKUP(A30,fullrosterCWLrole!$A$1:$B$300,2,FALSE)</f>
        <v>Attacker</v>
      </c>
    </row>
    <row r="31" spans="1:27" x14ac:dyDescent="0.25">
      <c r="A31" t="s">
        <v>110</v>
      </c>
      <c r="B31" t="s">
        <v>111</v>
      </c>
      <c r="C31" t="s">
        <v>8</v>
      </c>
      <c r="D31">
        <v>8</v>
      </c>
      <c r="E31" t="s">
        <v>103</v>
      </c>
      <c r="F31" t="s">
        <v>10</v>
      </c>
      <c r="G31" t="str">
        <f>VLOOKUP(A31,fullrosterCWLrole!$A$1:$B$300,2,FALSE)</f>
        <v>Backup</v>
      </c>
    </row>
    <row r="32" spans="1:27" x14ac:dyDescent="0.25">
      <c r="A32" t="s">
        <v>112</v>
      </c>
      <c r="B32" t="s">
        <v>113</v>
      </c>
      <c r="C32" t="s">
        <v>8</v>
      </c>
      <c r="D32">
        <v>8</v>
      </c>
      <c r="E32" t="s">
        <v>103</v>
      </c>
      <c r="F32" t="s">
        <v>10</v>
      </c>
      <c r="G32" t="str">
        <f>VLOOKUP(A32,fullrosterCWLrole!$A$1:$B$300,2,FALSE)</f>
        <v>Attacker</v>
      </c>
    </row>
    <row r="33" spans="1:7" x14ac:dyDescent="0.25">
      <c r="A33" t="s">
        <v>114</v>
      </c>
      <c r="B33" t="s">
        <v>115</v>
      </c>
      <c r="C33" t="s">
        <v>8</v>
      </c>
      <c r="D33">
        <v>9</v>
      </c>
      <c r="E33" t="s">
        <v>116</v>
      </c>
      <c r="F33" t="s">
        <v>10</v>
      </c>
      <c r="G33" t="e">
        <f>VLOOKUP(A33,fullrosterCWLrole!$A$1:$B$300,2,FALSE)</f>
        <v>#N/A</v>
      </c>
    </row>
    <row r="34" spans="1:7" x14ac:dyDescent="0.25">
      <c r="A34" t="s">
        <v>117</v>
      </c>
      <c r="B34" t="s">
        <v>118</v>
      </c>
      <c r="C34" t="s">
        <v>8</v>
      </c>
      <c r="D34">
        <v>8</v>
      </c>
      <c r="E34" t="s">
        <v>103</v>
      </c>
      <c r="F34" t="s">
        <v>10</v>
      </c>
      <c r="G34" t="str">
        <f>VLOOKUP(A34,fullrosterCWLrole!$A$1:$B$300,2,FALSE)</f>
        <v>Backup Final</v>
      </c>
    </row>
    <row r="35" spans="1:7" x14ac:dyDescent="0.25">
      <c r="A35" t="s">
        <v>119</v>
      </c>
      <c r="B35" t="s">
        <v>120</v>
      </c>
      <c r="C35" t="s">
        <v>8</v>
      </c>
      <c r="D35">
        <v>8</v>
      </c>
      <c r="E35" t="s">
        <v>116</v>
      </c>
      <c r="F35" t="s">
        <v>10</v>
      </c>
      <c r="G35" t="str">
        <f>VLOOKUP(A35,fullrosterCWLrole!$A$1:$B$300,2,FALSE)</f>
        <v>Attacker</v>
      </c>
    </row>
    <row r="36" spans="1:7" x14ac:dyDescent="0.25">
      <c r="A36" t="s">
        <v>121</v>
      </c>
      <c r="B36" t="s">
        <v>122</v>
      </c>
      <c r="C36" t="s">
        <v>8</v>
      </c>
      <c r="D36">
        <v>8</v>
      </c>
      <c r="E36" t="s">
        <v>116</v>
      </c>
      <c r="F36" t="s">
        <v>10</v>
      </c>
      <c r="G36" t="str">
        <f>VLOOKUP(A36,fullrosterCWLrole!$A$1:$B$300,2,FALSE)</f>
        <v>Backup</v>
      </c>
    </row>
    <row r="37" spans="1:7" x14ac:dyDescent="0.25">
      <c r="A37" t="s">
        <v>123</v>
      </c>
      <c r="B37" t="s">
        <v>124</v>
      </c>
      <c r="C37" t="s">
        <v>125</v>
      </c>
      <c r="D37">
        <v>9</v>
      </c>
      <c r="E37" t="s">
        <v>116</v>
      </c>
      <c r="F37" t="s">
        <v>10</v>
      </c>
      <c r="G37" t="str">
        <f>VLOOKUP(A37,fullrosterCWLrole!$A$1:$B$300,2,FALSE)</f>
        <v>Other</v>
      </c>
    </row>
    <row r="38" spans="1:7" x14ac:dyDescent="0.25">
      <c r="A38" t="s">
        <v>126</v>
      </c>
      <c r="B38" t="s">
        <v>127</v>
      </c>
      <c r="C38" t="s">
        <v>8</v>
      </c>
      <c r="D38">
        <v>8</v>
      </c>
      <c r="E38" t="s">
        <v>116</v>
      </c>
      <c r="F38" t="s">
        <v>10</v>
      </c>
      <c r="G38" t="str">
        <f>VLOOKUP(A38,fullrosterCWLrole!$A$1:$B$300,2,FALSE)</f>
        <v>Attacker</v>
      </c>
    </row>
    <row r="39" spans="1:7" x14ac:dyDescent="0.25">
      <c r="A39" t="s">
        <v>128</v>
      </c>
      <c r="B39" t="s">
        <v>129</v>
      </c>
      <c r="C39" t="s">
        <v>8</v>
      </c>
      <c r="D39">
        <v>7</v>
      </c>
      <c r="E39" t="s">
        <v>116</v>
      </c>
      <c r="F39" t="s">
        <v>10</v>
      </c>
      <c r="G39" t="str">
        <f>VLOOKUP(A39,fullrosterCWLrole!$A$1:$B$300,2,FALSE)</f>
        <v>Backup</v>
      </c>
    </row>
    <row r="40" spans="1:7" x14ac:dyDescent="0.25">
      <c r="A40" t="s">
        <v>130</v>
      </c>
      <c r="B40" t="s">
        <v>131</v>
      </c>
      <c r="C40" t="s">
        <v>8</v>
      </c>
      <c r="D40">
        <v>8</v>
      </c>
      <c r="E40" t="s">
        <v>116</v>
      </c>
      <c r="F40" t="s">
        <v>10</v>
      </c>
      <c r="G40" t="str">
        <f>VLOOKUP(A40,fullrosterCWLrole!$A$1:$B$300,2,FALSE)</f>
        <v>Backup Final</v>
      </c>
    </row>
    <row r="41" spans="1:7" x14ac:dyDescent="0.25">
      <c r="A41" t="s">
        <v>132</v>
      </c>
      <c r="B41" t="s">
        <v>133</v>
      </c>
      <c r="C41" t="s">
        <v>22</v>
      </c>
      <c r="D41">
        <v>7</v>
      </c>
      <c r="E41" t="s">
        <v>134</v>
      </c>
      <c r="F41" t="s">
        <v>10</v>
      </c>
      <c r="G41" t="str">
        <f>VLOOKUP(A41,fullrosterCWLrole!$A$1:$B$300,2,FALSE)</f>
        <v>Backup</v>
      </c>
    </row>
    <row r="42" spans="1:7" x14ac:dyDescent="0.25">
      <c r="A42" t="s">
        <v>135</v>
      </c>
      <c r="B42" t="s">
        <v>136</v>
      </c>
      <c r="C42" t="s">
        <v>8</v>
      </c>
      <c r="D42">
        <v>7</v>
      </c>
      <c r="E42" t="s">
        <v>134</v>
      </c>
      <c r="F42" t="s">
        <v>10</v>
      </c>
      <c r="G42" t="str">
        <f>VLOOKUP(A42,fullrosterCWLrole!$A$1:$B$300,2,FALSE)</f>
        <v>Backup</v>
      </c>
    </row>
    <row r="43" spans="1:7" x14ac:dyDescent="0.25">
      <c r="A43" t="s">
        <v>137</v>
      </c>
      <c r="B43" t="s">
        <v>138</v>
      </c>
      <c r="C43" t="s">
        <v>8</v>
      </c>
      <c r="D43">
        <v>8</v>
      </c>
      <c r="E43" t="s">
        <v>134</v>
      </c>
      <c r="F43" t="s">
        <v>10</v>
      </c>
      <c r="G43" t="str">
        <f>VLOOKUP(A43,fullrosterCWLrole!$A$1:$B$300,2,FALSE)</f>
        <v>Attacker</v>
      </c>
    </row>
    <row r="44" spans="1:7" x14ac:dyDescent="0.25">
      <c r="A44" t="s">
        <v>139</v>
      </c>
      <c r="B44" t="s">
        <v>140</v>
      </c>
      <c r="C44" t="s">
        <v>8</v>
      </c>
      <c r="D44">
        <v>7</v>
      </c>
      <c r="E44" t="s">
        <v>134</v>
      </c>
      <c r="F44" t="s">
        <v>10</v>
      </c>
      <c r="G44" t="str">
        <f>VLOOKUP(A44,fullrosterCWLrole!$A$1:$B$300,2,FALSE)</f>
        <v>Backup</v>
      </c>
    </row>
    <row r="45" spans="1:7" x14ac:dyDescent="0.25">
      <c r="A45" t="s">
        <v>141</v>
      </c>
      <c r="B45" t="s">
        <v>142</v>
      </c>
      <c r="C45" t="s">
        <v>22</v>
      </c>
      <c r="D45">
        <v>8</v>
      </c>
      <c r="E45" t="s">
        <v>134</v>
      </c>
      <c r="F45" t="s">
        <v>10</v>
      </c>
      <c r="G45" t="str">
        <f>VLOOKUP(A45,fullrosterCWLrole!$A$1:$B$300,2,FALSE)</f>
        <v>Backup</v>
      </c>
    </row>
    <row r="46" spans="1:7" x14ac:dyDescent="0.25">
      <c r="A46" t="s">
        <v>143</v>
      </c>
      <c r="B46" t="s">
        <v>144</v>
      </c>
      <c r="C46" t="s">
        <v>125</v>
      </c>
      <c r="D46">
        <v>8</v>
      </c>
      <c r="E46" t="s">
        <v>116</v>
      </c>
      <c r="F46" t="s">
        <v>145</v>
      </c>
      <c r="G46" t="str">
        <f>VLOOKUP(A46,fullrosterCWLrole!$A$1:$B$300,2,FALSE)</f>
        <v>Backup Final</v>
      </c>
    </row>
    <row r="47" spans="1:7" x14ac:dyDescent="0.25">
      <c r="A47" t="s">
        <v>146</v>
      </c>
      <c r="B47" t="s">
        <v>147</v>
      </c>
      <c r="C47" t="s">
        <v>125</v>
      </c>
      <c r="D47">
        <v>12</v>
      </c>
      <c r="E47" t="s">
        <v>148</v>
      </c>
      <c r="F47" t="s">
        <v>149</v>
      </c>
      <c r="G47" t="str">
        <f>VLOOKUP(A47,fullrosterCWLrole!$A$1:$B$300,2,FALSE)</f>
        <v>Backup Final</v>
      </c>
    </row>
    <row r="48" spans="1:7" x14ac:dyDescent="0.25">
      <c r="A48" t="s">
        <v>150</v>
      </c>
      <c r="B48" t="s">
        <v>151</v>
      </c>
      <c r="C48" t="s">
        <v>22</v>
      </c>
      <c r="D48">
        <v>8</v>
      </c>
      <c r="E48" t="s">
        <v>83</v>
      </c>
      <c r="F48" t="s">
        <v>149</v>
      </c>
      <c r="G48" t="str">
        <f>VLOOKUP(A48,fullrosterCWLrole!$A$1:$B$300,2,FALSE)</f>
        <v>Backup Rushed</v>
      </c>
    </row>
    <row r="49" spans="1:7" x14ac:dyDescent="0.25">
      <c r="A49" t="s">
        <v>152</v>
      </c>
      <c r="B49" t="s">
        <v>153</v>
      </c>
      <c r="C49" t="s">
        <v>22</v>
      </c>
      <c r="D49">
        <v>11</v>
      </c>
      <c r="E49" t="s">
        <v>148</v>
      </c>
      <c r="F49" t="s">
        <v>154</v>
      </c>
      <c r="G49" t="str">
        <f>VLOOKUP(A49,fullrosterCWLrole!$A$1:$B$300,2,FALSE)</f>
        <v>Other</v>
      </c>
    </row>
    <row r="50" spans="1:7" x14ac:dyDescent="0.25">
      <c r="A50" t="s">
        <v>155</v>
      </c>
      <c r="B50" t="s">
        <v>156</v>
      </c>
      <c r="C50" t="s">
        <v>22</v>
      </c>
      <c r="D50">
        <v>13</v>
      </c>
      <c r="E50" t="s">
        <v>83</v>
      </c>
      <c r="F50" t="s">
        <v>154</v>
      </c>
      <c r="G50" t="str">
        <f>VLOOKUP(A50,fullrosterCWLrole!$A$1:$B$300,2,FALSE)</f>
        <v>Backup Donor</v>
      </c>
    </row>
    <row r="51" spans="1:7" x14ac:dyDescent="0.25">
      <c r="A51" t="s">
        <v>157</v>
      </c>
      <c r="B51" t="s">
        <v>158</v>
      </c>
      <c r="C51" t="s">
        <v>22</v>
      </c>
      <c r="D51">
        <v>11</v>
      </c>
      <c r="E51" t="s">
        <v>83</v>
      </c>
      <c r="F51" t="s">
        <v>154</v>
      </c>
      <c r="G51" t="str">
        <f>VLOOKUP(A51,fullrosterCWLrole!$A$1:$B$300,2,FALSE)</f>
        <v>Backup Final</v>
      </c>
    </row>
    <row r="52" spans="1:7" x14ac:dyDescent="0.25">
      <c r="A52" t="s">
        <v>159</v>
      </c>
      <c r="B52" t="s">
        <v>160</v>
      </c>
      <c r="C52" t="s">
        <v>27</v>
      </c>
      <c r="D52">
        <v>11</v>
      </c>
      <c r="E52" t="s">
        <v>83</v>
      </c>
      <c r="F52" t="s">
        <v>154</v>
      </c>
      <c r="G52" t="str">
        <f>VLOOKUP(A52,fullrosterCWLrole!$A$1:$B$300,2,FALSE)</f>
        <v>Backup Final</v>
      </c>
    </row>
    <row r="53" spans="1:7" x14ac:dyDescent="0.25">
      <c r="A53" t="s">
        <v>161</v>
      </c>
      <c r="B53" t="s">
        <v>162</v>
      </c>
      <c r="C53" t="s">
        <v>8</v>
      </c>
      <c r="D53">
        <v>10</v>
      </c>
      <c r="E53" t="s">
        <v>83</v>
      </c>
      <c r="F53" t="s">
        <v>154</v>
      </c>
      <c r="G53" t="str">
        <f>VLOOKUP(A53,fullrosterCWLrole!$A$1:$B$300,2,FALSE)</f>
        <v>Other</v>
      </c>
    </row>
    <row r="54" spans="1:7" x14ac:dyDescent="0.25">
      <c r="A54" t="s">
        <v>163</v>
      </c>
      <c r="B54" t="s">
        <v>164</v>
      </c>
      <c r="C54" t="s">
        <v>22</v>
      </c>
      <c r="D54">
        <v>10</v>
      </c>
      <c r="E54" t="s">
        <v>83</v>
      </c>
      <c r="F54" t="s">
        <v>154</v>
      </c>
      <c r="G54" t="str">
        <f>VLOOKUP(A54,fullrosterCWLrole!$A$1:$B$300,2,FALSE)</f>
        <v>Other</v>
      </c>
    </row>
    <row r="55" spans="1:7" x14ac:dyDescent="0.25">
      <c r="A55" t="s">
        <v>165</v>
      </c>
      <c r="B55" t="s">
        <v>166</v>
      </c>
      <c r="C55" t="s">
        <v>22</v>
      </c>
      <c r="D55">
        <v>9</v>
      </c>
      <c r="E55" t="s">
        <v>83</v>
      </c>
      <c r="F55" t="s">
        <v>154</v>
      </c>
      <c r="G55" t="str">
        <f>VLOOKUP(A55,fullrosterCWLrole!$A$1:$B$300,2,FALSE)</f>
        <v>Other</v>
      </c>
    </row>
    <row r="56" spans="1:7" x14ac:dyDescent="0.25">
      <c r="A56" t="s">
        <v>167</v>
      </c>
      <c r="B56" t="s">
        <v>168</v>
      </c>
      <c r="C56" t="s">
        <v>22</v>
      </c>
      <c r="D56">
        <v>9</v>
      </c>
      <c r="E56" t="s">
        <v>83</v>
      </c>
      <c r="F56" t="s">
        <v>154</v>
      </c>
      <c r="G56" t="str">
        <f>VLOOKUP(A56,fullrosterCWLrole!$A$1:$B$300,2,FALSE)</f>
        <v>Other</v>
      </c>
    </row>
    <row r="57" spans="1:7" x14ac:dyDescent="0.25">
      <c r="A57" t="s">
        <v>169</v>
      </c>
      <c r="B57" t="s">
        <v>170</v>
      </c>
      <c r="C57" t="s">
        <v>22</v>
      </c>
      <c r="D57">
        <v>8</v>
      </c>
      <c r="E57" t="s">
        <v>83</v>
      </c>
      <c r="F57" t="s">
        <v>154</v>
      </c>
      <c r="G57" t="str">
        <f>VLOOKUP(A57,fullrosterCWLrole!$A$1:$B$300,2,FALSE)</f>
        <v>Other</v>
      </c>
    </row>
    <row r="58" spans="1:7" x14ac:dyDescent="0.25">
      <c r="A58" t="s">
        <v>171</v>
      </c>
      <c r="B58" t="s">
        <v>172</v>
      </c>
      <c r="C58" t="s">
        <v>125</v>
      </c>
      <c r="D58">
        <v>3</v>
      </c>
      <c r="E58" t="s">
        <v>83</v>
      </c>
      <c r="F58" t="s">
        <v>154</v>
      </c>
      <c r="G58" t="str">
        <f>VLOOKUP(A58,fullrosterCWLrole!$A$1:$B$300,2,FALSE)</f>
        <v>Backup Final</v>
      </c>
    </row>
    <row r="59" spans="1:7" x14ac:dyDescent="0.25">
      <c r="A59" t="s">
        <v>173</v>
      </c>
      <c r="B59" t="s">
        <v>174</v>
      </c>
      <c r="C59" t="s">
        <v>125</v>
      </c>
      <c r="D59">
        <v>11</v>
      </c>
      <c r="E59" t="s">
        <v>83</v>
      </c>
      <c r="F59" t="s">
        <v>33</v>
      </c>
      <c r="G59" t="str">
        <f>VLOOKUP(A59,fullrosterCWLrole!$A$1:$B$300,2,FALSE)</f>
        <v>Backup Final</v>
      </c>
    </row>
    <row r="60" spans="1:7" x14ac:dyDescent="0.25">
      <c r="A60" t="s">
        <v>175</v>
      </c>
      <c r="B60" t="s">
        <v>176</v>
      </c>
      <c r="C60" t="s">
        <v>8</v>
      </c>
      <c r="D60">
        <v>14</v>
      </c>
      <c r="E60" t="s">
        <v>9</v>
      </c>
      <c r="F60" t="s">
        <v>177</v>
      </c>
      <c r="G60" t="str">
        <f>VLOOKUP(A60,fullrosterCWLrole!$A$1:$B$300,2,FALSE)</f>
        <v>Attacking Donor</v>
      </c>
    </row>
    <row r="61" spans="1:7" x14ac:dyDescent="0.25">
      <c r="A61" t="s">
        <v>178</v>
      </c>
      <c r="B61" t="s">
        <v>179</v>
      </c>
      <c r="C61" t="s">
        <v>8</v>
      </c>
      <c r="D61">
        <v>14</v>
      </c>
      <c r="E61" t="s">
        <v>23</v>
      </c>
      <c r="F61" t="s">
        <v>177</v>
      </c>
      <c r="G61" t="str">
        <f>VLOOKUP(A61,fullrosterCWLrole!$A$1:$B$300,2,FALSE)</f>
        <v>Attacking Donor</v>
      </c>
    </row>
    <row r="62" spans="1:7" x14ac:dyDescent="0.25">
      <c r="A62" t="s">
        <v>180</v>
      </c>
      <c r="B62" t="s">
        <v>181</v>
      </c>
      <c r="C62" t="s">
        <v>8</v>
      </c>
      <c r="D62">
        <v>10</v>
      </c>
      <c r="E62" t="s">
        <v>23</v>
      </c>
      <c r="F62" t="s">
        <v>177</v>
      </c>
      <c r="G62" t="str">
        <f>VLOOKUP(A62,fullrosterCWLrole!$A$1:$B$300,2,FALSE)</f>
        <v>Attacker</v>
      </c>
    </row>
    <row r="63" spans="1:7" x14ac:dyDescent="0.25">
      <c r="A63" t="s">
        <v>182</v>
      </c>
      <c r="B63" t="s">
        <v>183</v>
      </c>
      <c r="C63" t="s">
        <v>8</v>
      </c>
      <c r="D63">
        <v>14</v>
      </c>
      <c r="E63" t="s">
        <v>184</v>
      </c>
      <c r="F63" t="s">
        <v>177</v>
      </c>
      <c r="G63" t="str">
        <f>VLOOKUP(A63,fullrosterCWLrole!$A$1:$B$300,2,FALSE)</f>
        <v>Backup Donor</v>
      </c>
    </row>
    <row r="64" spans="1:7" x14ac:dyDescent="0.25">
      <c r="A64" t="s">
        <v>185</v>
      </c>
      <c r="B64" t="s">
        <v>186</v>
      </c>
      <c r="C64" t="s">
        <v>8</v>
      </c>
      <c r="D64">
        <v>6</v>
      </c>
      <c r="E64" t="s">
        <v>134</v>
      </c>
      <c r="F64" t="s">
        <v>177</v>
      </c>
      <c r="G64" t="e">
        <f>VLOOKUP(A64,fullrosterCWLrole!$A$1:$B$300,2,FALSE)</f>
        <v>#N/A</v>
      </c>
    </row>
    <row r="65" spans="1:7" x14ac:dyDescent="0.25">
      <c r="A65" t="s">
        <v>187</v>
      </c>
      <c r="B65" t="s">
        <v>188</v>
      </c>
      <c r="C65" t="s">
        <v>22</v>
      </c>
      <c r="D65">
        <v>7</v>
      </c>
      <c r="E65" t="s">
        <v>134</v>
      </c>
      <c r="F65" t="s">
        <v>177</v>
      </c>
      <c r="G65" t="str">
        <f>VLOOKUP(A65,fullrosterCWLrole!$A$1:$B$300,2,FALSE)</f>
        <v>Backup</v>
      </c>
    </row>
    <row r="66" spans="1:7" x14ac:dyDescent="0.25">
      <c r="A66" t="s">
        <v>189</v>
      </c>
      <c r="B66" t="s">
        <v>190</v>
      </c>
      <c r="C66" t="s">
        <v>27</v>
      </c>
      <c r="D66">
        <v>6</v>
      </c>
      <c r="E66" t="s">
        <v>134</v>
      </c>
      <c r="F66" t="s">
        <v>177</v>
      </c>
      <c r="G66" t="str">
        <f>VLOOKUP(A66,fullrosterCWLrole!$A$1:$B$300,2,FALSE)</f>
        <v>Backup</v>
      </c>
    </row>
    <row r="67" spans="1:7" x14ac:dyDescent="0.25">
      <c r="A67" t="s">
        <v>191</v>
      </c>
      <c r="B67" t="s">
        <v>192</v>
      </c>
      <c r="C67" t="s">
        <v>8</v>
      </c>
      <c r="D67">
        <v>5</v>
      </c>
      <c r="E67" t="s">
        <v>134</v>
      </c>
      <c r="F67" t="s">
        <v>177</v>
      </c>
      <c r="G67" t="e">
        <f>VLOOKUP(A67,fullrosterCWLrole!$A$1:$B$300,2,FALSE)</f>
        <v>#N/A</v>
      </c>
    </row>
    <row r="68" spans="1:7" x14ac:dyDescent="0.25">
      <c r="A68" t="s">
        <v>193</v>
      </c>
      <c r="B68" t="s">
        <v>194</v>
      </c>
      <c r="C68" t="s">
        <v>8</v>
      </c>
      <c r="D68">
        <v>8</v>
      </c>
      <c r="E68" t="s">
        <v>134</v>
      </c>
      <c r="F68" t="s">
        <v>177</v>
      </c>
      <c r="G68" t="e">
        <f>VLOOKUP(A68,fullrosterCWLrole!$A$1:$B$300,2,FALSE)</f>
        <v>#N/A</v>
      </c>
    </row>
    <row r="69" spans="1:7" x14ac:dyDescent="0.25">
      <c r="A69" t="s">
        <v>195</v>
      </c>
      <c r="B69" t="s">
        <v>196</v>
      </c>
      <c r="C69" t="s">
        <v>27</v>
      </c>
      <c r="D69">
        <v>6</v>
      </c>
      <c r="E69" t="s">
        <v>134</v>
      </c>
      <c r="F69" t="s">
        <v>177</v>
      </c>
      <c r="G69" t="str">
        <f>VLOOKUP(A69,fullrosterCWLrole!$A$1:$B$300,2,FALSE)</f>
        <v>Backup</v>
      </c>
    </row>
    <row r="70" spans="1:7" x14ac:dyDescent="0.25">
      <c r="A70" t="s">
        <v>197</v>
      </c>
      <c r="B70" t="s">
        <v>198</v>
      </c>
      <c r="C70" t="s">
        <v>27</v>
      </c>
      <c r="D70">
        <v>6</v>
      </c>
      <c r="E70" t="s">
        <v>134</v>
      </c>
      <c r="F70" t="s">
        <v>177</v>
      </c>
      <c r="G70" t="str">
        <f>VLOOKUP(A70,fullrosterCWLrole!$A$1:$B$300,2,FALSE)</f>
        <v>Backup</v>
      </c>
    </row>
    <row r="71" spans="1:7" x14ac:dyDescent="0.25">
      <c r="A71" t="s">
        <v>199</v>
      </c>
      <c r="B71" t="s">
        <v>200</v>
      </c>
      <c r="C71" t="s">
        <v>8</v>
      </c>
      <c r="D71">
        <v>4</v>
      </c>
      <c r="E71" t="s">
        <v>134</v>
      </c>
      <c r="F71" t="s">
        <v>177</v>
      </c>
      <c r="G71" t="e">
        <f>VLOOKUP(A71,fullrosterCWLrole!$A$1:$B$300,2,FALSE)</f>
        <v>#N/A</v>
      </c>
    </row>
    <row r="72" spans="1:7" x14ac:dyDescent="0.25">
      <c r="A72" t="s">
        <v>201</v>
      </c>
      <c r="B72" t="s">
        <v>202</v>
      </c>
      <c r="C72" t="s">
        <v>22</v>
      </c>
      <c r="D72">
        <v>6</v>
      </c>
      <c r="E72" t="s">
        <v>134</v>
      </c>
      <c r="F72" t="s">
        <v>177</v>
      </c>
      <c r="G72" t="str">
        <f>VLOOKUP(A72,fullrosterCWLrole!$A$1:$B$300,2,FALSE)</f>
        <v>Backup</v>
      </c>
    </row>
    <row r="73" spans="1:7" x14ac:dyDescent="0.25">
      <c r="A73" t="s">
        <v>203</v>
      </c>
      <c r="B73" t="s">
        <v>204</v>
      </c>
      <c r="C73" t="s">
        <v>8</v>
      </c>
      <c r="D73">
        <v>6</v>
      </c>
      <c r="E73" t="s">
        <v>134</v>
      </c>
      <c r="F73" t="s">
        <v>177</v>
      </c>
      <c r="G73" t="e">
        <f>VLOOKUP(A73,fullrosterCWLrole!$A$1:$B$300,2,FALSE)</f>
        <v>#N/A</v>
      </c>
    </row>
    <row r="74" spans="1:7" x14ac:dyDescent="0.25">
      <c r="A74" t="s">
        <v>205</v>
      </c>
      <c r="B74" t="s">
        <v>206</v>
      </c>
      <c r="C74" t="s">
        <v>27</v>
      </c>
      <c r="D74">
        <v>6</v>
      </c>
      <c r="E74" t="s">
        <v>134</v>
      </c>
      <c r="F74" t="s">
        <v>177</v>
      </c>
      <c r="G74" t="e">
        <f>VLOOKUP(A74,fullrosterCWLrole!$A$1:$B$300,2,FALSE)</f>
        <v>#N/A</v>
      </c>
    </row>
    <row r="75" spans="1:7" x14ac:dyDescent="0.25">
      <c r="A75" t="s">
        <v>207</v>
      </c>
      <c r="B75" t="s">
        <v>208</v>
      </c>
      <c r="C75" t="s">
        <v>8</v>
      </c>
      <c r="D75">
        <v>5</v>
      </c>
      <c r="E75" t="s">
        <v>134</v>
      </c>
      <c r="F75" t="s">
        <v>177</v>
      </c>
      <c r="G75" t="e">
        <f>VLOOKUP(A75,fullrosterCWLrole!$A$1:$B$300,2,FALSE)</f>
        <v>#N/A</v>
      </c>
    </row>
    <row r="76" spans="1:7" x14ac:dyDescent="0.25">
      <c r="A76" t="s">
        <v>209</v>
      </c>
      <c r="B76" t="s">
        <v>210</v>
      </c>
      <c r="C76" t="s">
        <v>22</v>
      </c>
      <c r="D76">
        <v>6</v>
      </c>
      <c r="E76" t="s">
        <v>134</v>
      </c>
      <c r="F76" t="s">
        <v>177</v>
      </c>
      <c r="G76" t="str">
        <f>VLOOKUP(A76,fullrosterCWLrole!$A$1:$B$300,2,FALSE)</f>
        <v>Backup</v>
      </c>
    </row>
    <row r="77" spans="1:7" x14ac:dyDescent="0.25">
      <c r="A77" t="s">
        <v>211</v>
      </c>
      <c r="B77" t="s">
        <v>212</v>
      </c>
      <c r="C77" t="s">
        <v>8</v>
      </c>
      <c r="D77">
        <v>5</v>
      </c>
      <c r="E77" t="s">
        <v>213</v>
      </c>
      <c r="F77" t="s">
        <v>177</v>
      </c>
      <c r="G77" t="e">
        <f>VLOOKUP(A77,fullrosterCWLrole!$A$1:$B$300,2,FALSE)</f>
        <v>#N/A</v>
      </c>
    </row>
    <row r="78" spans="1:7" x14ac:dyDescent="0.25">
      <c r="A78" t="s">
        <v>214</v>
      </c>
      <c r="B78" t="s">
        <v>215</v>
      </c>
      <c r="C78" t="s">
        <v>27</v>
      </c>
      <c r="D78">
        <v>6</v>
      </c>
      <c r="E78" t="s">
        <v>134</v>
      </c>
      <c r="F78" t="s">
        <v>177</v>
      </c>
      <c r="G78" t="str">
        <f>VLOOKUP(A78,fullrosterCWLrole!$A$1:$B$300,2,FALSE)</f>
        <v>Backup</v>
      </c>
    </row>
    <row r="79" spans="1:7" x14ac:dyDescent="0.25">
      <c r="A79" t="s">
        <v>216</v>
      </c>
      <c r="B79" t="s">
        <v>217</v>
      </c>
      <c r="C79" t="s">
        <v>8</v>
      </c>
      <c r="D79">
        <v>6</v>
      </c>
      <c r="E79" t="s">
        <v>134</v>
      </c>
      <c r="F79" t="s">
        <v>177</v>
      </c>
      <c r="G79" t="str">
        <f>VLOOKUP(A79,fullrosterCWLrole!$A$1:$B$300,2,FALSE)</f>
        <v>Backup</v>
      </c>
    </row>
    <row r="80" spans="1:7" x14ac:dyDescent="0.25">
      <c r="A80" t="s">
        <v>218</v>
      </c>
      <c r="B80" t="s">
        <v>219</v>
      </c>
      <c r="C80" t="s">
        <v>125</v>
      </c>
      <c r="D80">
        <v>5</v>
      </c>
      <c r="E80" t="s">
        <v>213</v>
      </c>
      <c r="F80" t="s">
        <v>177</v>
      </c>
      <c r="G80" t="str">
        <f>VLOOKUP(A80,fullrosterCWLrole!$A$1:$B$300,2,FALSE)</f>
        <v>Backup</v>
      </c>
    </row>
    <row r="81" spans="1:7" x14ac:dyDescent="0.25">
      <c r="A81" t="s">
        <v>220</v>
      </c>
      <c r="B81" t="s">
        <v>221</v>
      </c>
      <c r="C81" t="s">
        <v>8</v>
      </c>
      <c r="D81">
        <v>6</v>
      </c>
      <c r="E81" t="s">
        <v>134</v>
      </c>
      <c r="F81" t="s">
        <v>177</v>
      </c>
      <c r="G81" t="str">
        <f>VLOOKUP(A81,fullrosterCWLrole!$A$1:$B$300,2,FALSE)</f>
        <v>Backup</v>
      </c>
    </row>
    <row r="82" spans="1:7" x14ac:dyDescent="0.25">
      <c r="A82" t="s">
        <v>222</v>
      </c>
      <c r="B82" t="s">
        <v>223</v>
      </c>
      <c r="C82" t="s">
        <v>8</v>
      </c>
      <c r="D82">
        <v>6</v>
      </c>
      <c r="E82" t="s">
        <v>213</v>
      </c>
      <c r="F82" t="s">
        <v>177</v>
      </c>
      <c r="G82" t="e">
        <f>VLOOKUP(A82,fullrosterCWLrole!$A$1:$B$300,2,FALSE)</f>
        <v>#N/A</v>
      </c>
    </row>
    <row r="83" spans="1:7" x14ac:dyDescent="0.25">
      <c r="A83" t="s">
        <v>224</v>
      </c>
      <c r="B83" t="s">
        <v>225</v>
      </c>
      <c r="C83" t="s">
        <v>27</v>
      </c>
      <c r="D83">
        <v>5</v>
      </c>
      <c r="E83" t="s">
        <v>213</v>
      </c>
      <c r="F83" t="s">
        <v>177</v>
      </c>
      <c r="G83" t="e">
        <f>VLOOKUP(A83,fullrosterCWLrole!$A$1:$B$300,2,FALSE)</f>
        <v>#N/A</v>
      </c>
    </row>
    <row r="84" spans="1:7" x14ac:dyDescent="0.25">
      <c r="A84" t="s">
        <v>226</v>
      </c>
      <c r="B84" t="s">
        <v>227</v>
      </c>
      <c r="C84" t="s">
        <v>8</v>
      </c>
      <c r="D84">
        <v>5</v>
      </c>
      <c r="E84" t="s">
        <v>213</v>
      </c>
      <c r="F84" t="s">
        <v>177</v>
      </c>
      <c r="G84" t="e">
        <f>VLOOKUP(A84,fullrosterCWLrole!$A$1:$B$300,2,FALSE)</f>
        <v>#N/A</v>
      </c>
    </row>
    <row r="85" spans="1:7" x14ac:dyDescent="0.25">
      <c r="A85" t="s">
        <v>228</v>
      </c>
      <c r="B85" t="s">
        <v>229</v>
      </c>
      <c r="C85" t="s">
        <v>8</v>
      </c>
      <c r="D85">
        <v>6</v>
      </c>
      <c r="E85" t="s">
        <v>213</v>
      </c>
      <c r="F85" t="s">
        <v>177</v>
      </c>
      <c r="G85" t="e">
        <f>VLOOKUP(A85,fullrosterCWLrole!$A$1:$B$300,2,FALSE)</f>
        <v>#N/A</v>
      </c>
    </row>
    <row r="86" spans="1:7" x14ac:dyDescent="0.25">
      <c r="A86" t="s">
        <v>230</v>
      </c>
      <c r="B86" t="s">
        <v>231</v>
      </c>
      <c r="C86" t="s">
        <v>22</v>
      </c>
      <c r="D86">
        <v>5</v>
      </c>
      <c r="E86" t="s">
        <v>213</v>
      </c>
      <c r="F86" t="s">
        <v>177</v>
      </c>
      <c r="G86" t="str">
        <f>VLOOKUP(A86,fullrosterCWLrole!$A$1:$B$300,2,FALSE)</f>
        <v>Backup</v>
      </c>
    </row>
    <row r="87" spans="1:7" x14ac:dyDescent="0.25">
      <c r="A87" t="s">
        <v>232</v>
      </c>
      <c r="B87" t="s">
        <v>233</v>
      </c>
      <c r="C87" t="s">
        <v>234</v>
      </c>
      <c r="D87" t="s">
        <v>8</v>
      </c>
      <c r="E87">
        <v>5</v>
      </c>
      <c r="F87" t="s">
        <v>235</v>
      </c>
      <c r="G87" t="e">
        <f>VLOOKUP(A87,fullrosterCWLrole!$A$1:$B$300,2,FALSE)</f>
        <v>#N/A</v>
      </c>
    </row>
    <row r="88" spans="1:7" x14ac:dyDescent="0.25">
      <c r="A88" t="s">
        <v>236</v>
      </c>
      <c r="B88" t="s">
        <v>237</v>
      </c>
      <c r="C88" t="s">
        <v>27</v>
      </c>
      <c r="D88">
        <v>4</v>
      </c>
      <c r="E88" t="s">
        <v>235</v>
      </c>
      <c r="F88" t="s">
        <v>177</v>
      </c>
      <c r="G88" t="str">
        <f>VLOOKUP(A88,fullrosterCWLrole!$A$1:$B$300,2,FALSE)</f>
        <v>Backup</v>
      </c>
    </row>
    <row r="89" spans="1:7" x14ac:dyDescent="0.25">
      <c r="A89" t="s">
        <v>238</v>
      </c>
      <c r="B89" t="s">
        <v>239</v>
      </c>
      <c r="C89" t="s">
        <v>8</v>
      </c>
      <c r="D89">
        <v>3</v>
      </c>
      <c r="E89" t="s">
        <v>235</v>
      </c>
      <c r="F89" t="s">
        <v>177</v>
      </c>
      <c r="G89" t="e">
        <f>VLOOKUP(A89,fullrosterCWLrole!$A$1:$B$300,2,FALSE)</f>
        <v>#N/A</v>
      </c>
    </row>
    <row r="90" spans="1:7" x14ac:dyDescent="0.25">
      <c r="A90" t="s">
        <v>240</v>
      </c>
      <c r="B90" t="s">
        <v>241</v>
      </c>
      <c r="C90" t="s">
        <v>8</v>
      </c>
      <c r="D90">
        <v>5</v>
      </c>
      <c r="E90" t="s">
        <v>83</v>
      </c>
      <c r="F90" t="s">
        <v>177</v>
      </c>
      <c r="G90" t="e">
        <f>VLOOKUP(A90,fullrosterCWLrole!$A$1:$B$300,2,FALSE)</f>
        <v>#N/A</v>
      </c>
    </row>
    <row r="91" spans="1:7" x14ac:dyDescent="0.25">
      <c r="A91" t="s">
        <v>242</v>
      </c>
      <c r="B91" t="s">
        <v>243</v>
      </c>
      <c r="C91" t="s">
        <v>27</v>
      </c>
      <c r="D91">
        <v>5</v>
      </c>
      <c r="E91" t="s">
        <v>235</v>
      </c>
      <c r="F91" t="s">
        <v>177</v>
      </c>
      <c r="G91" t="str">
        <f>VLOOKUP(A91,fullrosterCWLrole!$A$1:$B$300,2,FALSE)</f>
        <v>Backup</v>
      </c>
    </row>
    <row r="92" spans="1:7" x14ac:dyDescent="0.25">
      <c r="A92" t="s">
        <v>244</v>
      </c>
      <c r="B92" t="s">
        <v>245</v>
      </c>
      <c r="C92" t="s">
        <v>8</v>
      </c>
      <c r="D92">
        <v>4</v>
      </c>
      <c r="E92" t="s">
        <v>246</v>
      </c>
      <c r="F92" t="s">
        <v>177</v>
      </c>
      <c r="G92" t="e">
        <f>VLOOKUP(A92,fullrosterCWLrole!$A$1:$B$300,2,FALSE)</f>
        <v>#N/A</v>
      </c>
    </row>
    <row r="93" spans="1:7" x14ac:dyDescent="0.25">
      <c r="A93" t="s">
        <v>247</v>
      </c>
      <c r="B93" t="s">
        <v>248</v>
      </c>
      <c r="C93" t="s">
        <v>8</v>
      </c>
      <c r="D93">
        <v>4</v>
      </c>
      <c r="E93" t="s">
        <v>246</v>
      </c>
      <c r="F93" t="s">
        <v>177</v>
      </c>
      <c r="G93" t="e">
        <f>VLOOKUP(A93,fullrosterCWLrole!$A$1:$B$300,2,FALSE)</f>
        <v>#N/A</v>
      </c>
    </row>
    <row r="94" spans="1:7" x14ac:dyDescent="0.25">
      <c r="A94" t="s">
        <v>249</v>
      </c>
      <c r="B94" t="s">
        <v>250</v>
      </c>
      <c r="C94" t="s">
        <v>8</v>
      </c>
      <c r="D94">
        <v>4</v>
      </c>
      <c r="E94" t="s">
        <v>246</v>
      </c>
      <c r="F94" t="s">
        <v>177</v>
      </c>
      <c r="G94" t="e">
        <f>VLOOKUP(A94,fullrosterCWLrole!$A$1:$B$300,2,FALSE)</f>
        <v>#N/A</v>
      </c>
    </row>
    <row r="95" spans="1:7" x14ac:dyDescent="0.25">
      <c r="A95" t="s">
        <v>251</v>
      </c>
      <c r="B95" t="s">
        <v>252</v>
      </c>
      <c r="C95" t="s">
        <v>8</v>
      </c>
      <c r="D95">
        <v>4</v>
      </c>
      <c r="E95" t="s">
        <v>83</v>
      </c>
      <c r="F95" t="s">
        <v>177</v>
      </c>
      <c r="G95" t="e">
        <f>VLOOKUP(A95,fullrosterCWLrole!$A$1:$B$300,2,FALSE)</f>
        <v>#N/A</v>
      </c>
    </row>
    <row r="96" spans="1:7" x14ac:dyDescent="0.25">
      <c r="A96" t="s">
        <v>253</v>
      </c>
      <c r="B96" t="s">
        <v>254</v>
      </c>
      <c r="C96" t="s">
        <v>8</v>
      </c>
      <c r="D96">
        <v>3</v>
      </c>
      <c r="E96" t="s">
        <v>83</v>
      </c>
      <c r="F96" t="s">
        <v>177</v>
      </c>
      <c r="G96" t="e">
        <f>VLOOKUP(A96,fullrosterCWLrole!$A$1:$B$300,2,FALSE)</f>
        <v>#N/A</v>
      </c>
    </row>
    <row r="97" spans="1:7" x14ac:dyDescent="0.25">
      <c r="A97" t="s">
        <v>255</v>
      </c>
      <c r="B97" t="s">
        <v>256</v>
      </c>
      <c r="C97" t="s">
        <v>8</v>
      </c>
      <c r="D97">
        <v>4</v>
      </c>
      <c r="E97" t="s">
        <v>83</v>
      </c>
      <c r="F97" t="s">
        <v>177</v>
      </c>
      <c r="G97" t="e">
        <f>VLOOKUP(A97,fullrosterCWLrole!$A$1:$B$300,2,FALSE)</f>
        <v>#N/A</v>
      </c>
    </row>
    <row r="98" spans="1:7" x14ac:dyDescent="0.25">
      <c r="A98" t="s">
        <v>257</v>
      </c>
      <c r="B98" t="s">
        <v>258</v>
      </c>
      <c r="C98" t="s">
        <v>8</v>
      </c>
      <c r="D98">
        <v>3</v>
      </c>
      <c r="E98" t="s">
        <v>83</v>
      </c>
      <c r="F98" t="s">
        <v>177</v>
      </c>
      <c r="G98" t="e">
        <f>VLOOKUP(A98,fullrosterCWLrole!$A$1:$B$300,2,FALSE)</f>
        <v>#N/A</v>
      </c>
    </row>
    <row r="99" spans="1:7" x14ac:dyDescent="0.25">
      <c r="A99" t="s">
        <v>259</v>
      </c>
      <c r="B99" t="s">
        <v>260</v>
      </c>
      <c r="C99" t="s">
        <v>22</v>
      </c>
      <c r="D99">
        <v>3</v>
      </c>
      <c r="E99" t="s">
        <v>83</v>
      </c>
      <c r="F99" t="s">
        <v>177</v>
      </c>
      <c r="G99" t="e">
        <f>VLOOKUP(A99,fullrosterCWLrole!$A$1:$B$300,2,FALSE)</f>
        <v>#N/A</v>
      </c>
    </row>
    <row r="100" spans="1:7" x14ac:dyDescent="0.25">
      <c r="A100" t="s">
        <v>261</v>
      </c>
      <c r="B100" t="s">
        <v>262</v>
      </c>
      <c r="C100" t="s">
        <v>8</v>
      </c>
      <c r="D100">
        <v>4</v>
      </c>
      <c r="E100" t="s">
        <v>83</v>
      </c>
      <c r="F100" t="s">
        <v>177</v>
      </c>
      <c r="G100" t="e">
        <f>VLOOKUP(A100,fullrosterCWLrole!$A$1:$B$300,2,FALSE)</f>
        <v>#N/A</v>
      </c>
    </row>
    <row r="101" spans="1:7" x14ac:dyDescent="0.25">
      <c r="A101" t="s">
        <v>263</v>
      </c>
      <c r="B101" t="s">
        <v>264</v>
      </c>
      <c r="C101" t="s">
        <v>8</v>
      </c>
      <c r="D101">
        <v>3</v>
      </c>
      <c r="E101" t="s">
        <v>83</v>
      </c>
      <c r="F101" t="s">
        <v>177</v>
      </c>
      <c r="G101" t="e">
        <f>VLOOKUP(A101,fullrosterCWLrole!$A$1:$B$300,2,FALSE)</f>
        <v>#N/A</v>
      </c>
    </row>
    <row r="102" spans="1:7" x14ac:dyDescent="0.25">
      <c r="A102" t="s">
        <v>265</v>
      </c>
      <c r="B102" t="s">
        <v>266</v>
      </c>
      <c r="C102" t="s">
        <v>8</v>
      </c>
      <c r="D102">
        <v>3</v>
      </c>
      <c r="E102" t="s">
        <v>83</v>
      </c>
      <c r="F102" t="s">
        <v>177</v>
      </c>
      <c r="G102" t="e">
        <f>VLOOKUP(A102,fullrosterCWLrole!$A$1:$B$300,2,FALSE)</f>
        <v>#N/A</v>
      </c>
    </row>
    <row r="103" spans="1:7" x14ac:dyDescent="0.25">
      <c r="A103" t="s">
        <v>267</v>
      </c>
      <c r="B103" t="s">
        <v>268</v>
      </c>
      <c r="C103" t="s">
        <v>8</v>
      </c>
      <c r="D103">
        <v>3</v>
      </c>
      <c r="E103" t="s">
        <v>83</v>
      </c>
      <c r="F103" t="s">
        <v>177</v>
      </c>
      <c r="G103" t="e">
        <f>VLOOKUP(A103,fullrosterCWLrole!$A$1:$B$300,2,FALSE)</f>
        <v>#N/A</v>
      </c>
    </row>
    <row r="104" spans="1:7" x14ac:dyDescent="0.25">
      <c r="A104" t="s">
        <v>269</v>
      </c>
      <c r="B104" t="s">
        <v>270</v>
      </c>
      <c r="C104" t="s">
        <v>27</v>
      </c>
      <c r="D104">
        <v>3</v>
      </c>
      <c r="E104" t="s">
        <v>83</v>
      </c>
      <c r="F104" t="s">
        <v>177</v>
      </c>
      <c r="G104" t="e">
        <f>VLOOKUP(A104,fullrosterCWLrole!$A$1:$B$300,2,FALSE)</f>
        <v>#N/A</v>
      </c>
    </row>
    <row r="105" spans="1:7" x14ac:dyDescent="0.25">
      <c r="A105" t="s">
        <v>271</v>
      </c>
      <c r="B105" t="s">
        <v>272</v>
      </c>
      <c r="C105" t="s">
        <v>8</v>
      </c>
      <c r="D105">
        <v>3</v>
      </c>
      <c r="E105" t="s">
        <v>83</v>
      </c>
      <c r="F105" t="s">
        <v>177</v>
      </c>
      <c r="G105" t="e">
        <f>VLOOKUP(A105,fullrosterCWLrole!$A$1:$B$300,2,FALSE)</f>
        <v>#N/A</v>
      </c>
    </row>
    <row r="106" spans="1:7" x14ac:dyDescent="0.25">
      <c r="A106" t="s">
        <v>273</v>
      </c>
      <c r="B106" t="s">
        <v>274</v>
      </c>
      <c r="C106" t="s">
        <v>22</v>
      </c>
      <c r="D106">
        <v>11</v>
      </c>
      <c r="E106" t="s">
        <v>83</v>
      </c>
      <c r="F106" t="s">
        <v>275</v>
      </c>
      <c r="G106" t="str">
        <f>VLOOKUP(A106,fullrosterCWLrole!$A$1:$B$300,2,FALSE)</f>
        <v>Other</v>
      </c>
    </row>
    <row r="107" spans="1:7" x14ac:dyDescent="0.25">
      <c r="A107" t="s">
        <v>276</v>
      </c>
      <c r="B107" t="s">
        <v>277</v>
      </c>
      <c r="C107" t="s">
        <v>27</v>
      </c>
      <c r="D107">
        <v>9</v>
      </c>
      <c r="E107" t="s">
        <v>83</v>
      </c>
      <c r="F107" t="s">
        <v>275</v>
      </c>
      <c r="G107" t="str">
        <f>VLOOKUP(A107,fullrosterCWLrole!$A$1:$B$300,2,FALSE)</f>
        <v>Other</v>
      </c>
    </row>
    <row r="108" spans="1:7" x14ac:dyDescent="0.25">
      <c r="A108" t="s">
        <v>278</v>
      </c>
      <c r="B108" t="s">
        <v>279</v>
      </c>
      <c r="C108" t="s">
        <v>22</v>
      </c>
      <c r="D108">
        <v>9</v>
      </c>
      <c r="E108" t="s">
        <v>86</v>
      </c>
      <c r="F108" t="s">
        <v>275</v>
      </c>
      <c r="G108" t="str">
        <f>VLOOKUP(A108,fullrosterCWLrole!$A$1:$B$300,2,FALSE)</f>
        <v>Backup</v>
      </c>
    </row>
    <row r="109" spans="1:7" x14ac:dyDescent="0.25">
      <c r="A109" t="s">
        <v>280</v>
      </c>
      <c r="B109" t="s">
        <v>281</v>
      </c>
      <c r="C109" t="s">
        <v>8</v>
      </c>
      <c r="D109">
        <v>9</v>
      </c>
      <c r="E109" t="s">
        <v>83</v>
      </c>
      <c r="F109" t="s">
        <v>275</v>
      </c>
      <c r="G109" t="str">
        <f>VLOOKUP(A109,fullrosterCWLrole!$A$1:$B$300,2,FALSE)</f>
        <v>Other</v>
      </c>
    </row>
    <row r="110" spans="1:7" x14ac:dyDescent="0.25">
      <c r="A110" t="s">
        <v>282</v>
      </c>
      <c r="B110" t="s">
        <v>283</v>
      </c>
      <c r="C110" t="s">
        <v>125</v>
      </c>
      <c r="D110">
        <v>3</v>
      </c>
      <c r="E110" t="s">
        <v>246</v>
      </c>
      <c r="F110" t="s">
        <v>275</v>
      </c>
      <c r="G110" t="str">
        <f>VLOOKUP(A110,fullrosterCWLrole!$A$1:$B$300,2,FALSE)</f>
        <v>Other</v>
      </c>
    </row>
    <row r="111" spans="1:7" x14ac:dyDescent="0.25">
      <c r="A111" t="s">
        <v>284</v>
      </c>
      <c r="B111" t="s">
        <v>285</v>
      </c>
      <c r="C111" t="s">
        <v>125</v>
      </c>
      <c r="D111">
        <v>3</v>
      </c>
      <c r="E111" t="s">
        <v>83</v>
      </c>
      <c r="F111" t="s">
        <v>286</v>
      </c>
      <c r="G111" t="str">
        <f>VLOOKUP(A111,fullrosterCWLrole!$A$1:$B$300,2,FALSE)</f>
        <v>Other</v>
      </c>
    </row>
    <row r="112" spans="1:7" x14ac:dyDescent="0.25">
      <c r="A112" t="s">
        <v>287</v>
      </c>
      <c r="B112" t="s">
        <v>288</v>
      </c>
      <c r="C112" t="s">
        <v>8</v>
      </c>
      <c r="D112">
        <v>9</v>
      </c>
      <c r="E112" t="s">
        <v>86</v>
      </c>
      <c r="F112" t="s">
        <v>289</v>
      </c>
      <c r="G112" t="e">
        <f>VLOOKUP(A112,fullrosterCWLrole!$A$1:$B$300,2,FALSE)</f>
        <v>#N/A</v>
      </c>
    </row>
    <row r="113" spans="1:7" x14ac:dyDescent="0.25">
      <c r="A113" t="s">
        <v>290</v>
      </c>
      <c r="B113" t="s">
        <v>291</v>
      </c>
      <c r="C113" t="s">
        <v>8</v>
      </c>
      <c r="D113">
        <v>6</v>
      </c>
      <c r="E113" t="s">
        <v>134</v>
      </c>
      <c r="F113" t="s">
        <v>289</v>
      </c>
      <c r="G113" t="str">
        <f>VLOOKUP(A113,fullrosterCWLrole!$A$1:$B$300,2,FALSE)</f>
        <v>Backup</v>
      </c>
    </row>
    <row r="114" spans="1:7" x14ac:dyDescent="0.25">
      <c r="A114" t="s">
        <v>292</v>
      </c>
      <c r="B114" t="s">
        <v>293</v>
      </c>
      <c r="C114" t="s">
        <v>22</v>
      </c>
      <c r="D114">
        <v>5</v>
      </c>
      <c r="E114" t="s">
        <v>83</v>
      </c>
      <c r="F114" t="s">
        <v>289</v>
      </c>
      <c r="G114" t="str">
        <f>VLOOKUP(A114,fullrosterCWLrole!$A$1:$B$300,2,FALSE)</f>
        <v>Other</v>
      </c>
    </row>
    <row r="115" spans="1:7" x14ac:dyDescent="0.25">
      <c r="A115" t="s">
        <v>294</v>
      </c>
      <c r="B115" t="s">
        <v>295</v>
      </c>
      <c r="C115" t="s">
        <v>125</v>
      </c>
      <c r="D115">
        <v>3</v>
      </c>
      <c r="E115" t="s">
        <v>246</v>
      </c>
      <c r="F115" t="s">
        <v>289</v>
      </c>
      <c r="G115" t="str">
        <f>VLOOKUP(A115,fullrosterCWLrole!$A$1:$B$300,2,FALSE)</f>
        <v>Backup</v>
      </c>
    </row>
    <row r="116" spans="1:7" x14ac:dyDescent="0.25">
      <c r="A116" t="s">
        <v>296</v>
      </c>
      <c r="B116" t="s">
        <v>297</v>
      </c>
      <c r="C116" t="s">
        <v>8</v>
      </c>
      <c r="D116">
        <v>13</v>
      </c>
      <c r="E116" t="s">
        <v>83</v>
      </c>
      <c r="F116" t="s">
        <v>24</v>
      </c>
      <c r="G116" t="str">
        <f>VLOOKUP(A116,fullrosterCWLrole!$A$1:$B$300,2,FALSE)</f>
        <v>Bench</v>
      </c>
    </row>
    <row r="117" spans="1:7" x14ac:dyDescent="0.25">
      <c r="A117" t="s">
        <v>298</v>
      </c>
      <c r="B117" t="s">
        <v>299</v>
      </c>
      <c r="C117" t="s">
        <v>8</v>
      </c>
      <c r="D117">
        <v>10</v>
      </c>
      <c r="E117" t="s">
        <v>83</v>
      </c>
      <c r="F117" t="s">
        <v>24</v>
      </c>
      <c r="G117" t="str">
        <f>VLOOKUP(A117,fullrosterCWLrole!$A$1:$B$300,2,FALSE)</f>
        <v>Attacker</v>
      </c>
    </row>
    <row r="118" spans="1:7" x14ac:dyDescent="0.25">
      <c r="A118" t="s">
        <v>300</v>
      </c>
      <c r="B118" t="s">
        <v>301</v>
      </c>
      <c r="C118" t="s">
        <v>8</v>
      </c>
      <c r="D118">
        <v>9</v>
      </c>
      <c r="E118" t="s">
        <v>83</v>
      </c>
      <c r="F118" t="s">
        <v>24</v>
      </c>
      <c r="G118" t="str">
        <f>VLOOKUP(A118,fullrosterCWLrole!$A$1:$B$300,2,FALSE)</f>
        <v>Other</v>
      </c>
    </row>
    <row r="119" spans="1:7" x14ac:dyDescent="0.25">
      <c r="A119" t="s">
        <v>302</v>
      </c>
      <c r="B119" t="s">
        <v>303</v>
      </c>
      <c r="C119" t="s">
        <v>22</v>
      </c>
      <c r="D119">
        <v>8</v>
      </c>
      <c r="E119" t="s">
        <v>116</v>
      </c>
      <c r="F119" t="s">
        <v>24</v>
      </c>
      <c r="G119" t="str">
        <f>VLOOKUP(A119,fullrosterCWLrole!$A$1:$B$300,2,FALSE)</f>
        <v>Attacker</v>
      </c>
    </row>
    <row r="120" spans="1:7" x14ac:dyDescent="0.25">
      <c r="A120" t="s">
        <v>304</v>
      </c>
      <c r="B120" t="s">
        <v>305</v>
      </c>
      <c r="C120" t="s">
        <v>8</v>
      </c>
      <c r="D120">
        <v>7</v>
      </c>
      <c r="E120" t="s">
        <v>83</v>
      </c>
      <c r="F120" t="s">
        <v>24</v>
      </c>
      <c r="G120" t="str">
        <f>VLOOKUP(A120,fullrosterCWLrole!$A$1:$B$300,2,FALSE)</f>
        <v>Other</v>
      </c>
    </row>
    <row r="121" spans="1:7" x14ac:dyDescent="0.25">
      <c r="A121" t="s">
        <v>306</v>
      </c>
      <c r="B121" t="s">
        <v>307</v>
      </c>
      <c r="C121" t="s">
        <v>22</v>
      </c>
      <c r="D121">
        <v>7</v>
      </c>
      <c r="E121" t="s">
        <v>83</v>
      </c>
      <c r="F121" t="s">
        <v>24</v>
      </c>
      <c r="G121" t="str">
        <f>VLOOKUP(A121,fullrosterCWLrole!$A$1:$B$300,2,FALSE)</f>
        <v>Other</v>
      </c>
    </row>
    <row r="122" spans="1:7" x14ac:dyDescent="0.25">
      <c r="A122" t="s">
        <v>308</v>
      </c>
      <c r="B122" t="s">
        <v>309</v>
      </c>
      <c r="C122" t="s">
        <v>8</v>
      </c>
      <c r="D122">
        <v>7</v>
      </c>
      <c r="E122" t="s">
        <v>134</v>
      </c>
      <c r="F122" t="s">
        <v>24</v>
      </c>
      <c r="G122" t="str">
        <f>VLOOKUP(A122,fullrosterCWLrole!$A$1:$B$300,2,FALSE)</f>
        <v>Attacker</v>
      </c>
    </row>
    <row r="123" spans="1:7" x14ac:dyDescent="0.25">
      <c r="A123" t="s">
        <v>310</v>
      </c>
      <c r="B123" t="s">
        <v>311</v>
      </c>
      <c r="C123" t="s">
        <v>8</v>
      </c>
      <c r="D123">
        <v>6</v>
      </c>
      <c r="E123" t="s">
        <v>134</v>
      </c>
      <c r="F123" t="s">
        <v>24</v>
      </c>
      <c r="G123" t="str">
        <f>VLOOKUP(A123,fullrosterCWLrole!$A$1:$B$300,2,FALSE)</f>
        <v>Other</v>
      </c>
    </row>
    <row r="124" spans="1:7" x14ac:dyDescent="0.25">
      <c r="A124" t="s">
        <v>312</v>
      </c>
      <c r="B124" t="s">
        <v>313</v>
      </c>
      <c r="C124" t="s">
        <v>8</v>
      </c>
      <c r="D124">
        <v>11</v>
      </c>
      <c r="E124" t="s">
        <v>83</v>
      </c>
      <c r="F124" t="s">
        <v>24</v>
      </c>
      <c r="G124" t="str">
        <f>VLOOKUP(A124,fullrosterCWLrole!$A$1:$B$300,2,FALSE)</f>
        <v>Other</v>
      </c>
    </row>
    <row r="125" spans="1:7" x14ac:dyDescent="0.25">
      <c r="A125" t="s">
        <v>314</v>
      </c>
      <c r="B125" t="s">
        <v>315</v>
      </c>
      <c r="C125" t="s">
        <v>22</v>
      </c>
      <c r="D125">
        <v>6</v>
      </c>
      <c r="E125" t="s">
        <v>83</v>
      </c>
      <c r="F125" t="s">
        <v>24</v>
      </c>
      <c r="G125" t="str">
        <f>VLOOKUP(A125,fullrosterCWLrole!$A$1:$B$300,2,FALSE)</f>
        <v>Bench</v>
      </c>
    </row>
    <row r="126" spans="1:7" x14ac:dyDescent="0.25">
      <c r="A126" t="s">
        <v>316</v>
      </c>
      <c r="B126" t="s">
        <v>317</v>
      </c>
      <c r="C126" t="s">
        <v>8</v>
      </c>
      <c r="D126">
        <v>4</v>
      </c>
      <c r="E126" t="s">
        <v>83</v>
      </c>
      <c r="F126" t="s">
        <v>24</v>
      </c>
      <c r="G126" t="e">
        <f>VLOOKUP(A126,fullrosterCWLrole!$A$1:$B$300,2,FALSE)</f>
        <v>#N/A</v>
      </c>
    </row>
    <row r="127" spans="1:7" x14ac:dyDescent="0.25">
      <c r="A127" t="s">
        <v>318</v>
      </c>
      <c r="B127" t="s">
        <v>319</v>
      </c>
      <c r="C127" t="s">
        <v>125</v>
      </c>
      <c r="D127">
        <v>3</v>
      </c>
      <c r="E127" t="s">
        <v>83</v>
      </c>
      <c r="F127" t="s">
        <v>24</v>
      </c>
      <c r="G127" t="str">
        <f>VLOOKUP(A127,fullrosterCWLrole!$A$1:$B$300,2,FALSE)</f>
        <v>Backup</v>
      </c>
    </row>
    <row r="128" spans="1:7" x14ac:dyDescent="0.25">
      <c r="A128" t="s">
        <v>320</v>
      </c>
      <c r="B128" t="s">
        <v>321</v>
      </c>
      <c r="C128" t="s">
        <v>125</v>
      </c>
      <c r="D128">
        <v>7</v>
      </c>
      <c r="E128" t="s">
        <v>83</v>
      </c>
      <c r="F128" t="s">
        <v>322</v>
      </c>
      <c r="G128" t="str">
        <f>VLOOKUP(A128,fullrosterCWLrole!$A$1:$B$300,2,FALSE)</f>
        <v>Backup Final</v>
      </c>
    </row>
    <row r="129" spans="1:7" x14ac:dyDescent="0.25">
      <c r="A129" t="s">
        <v>323</v>
      </c>
      <c r="B129" t="s">
        <v>324</v>
      </c>
      <c r="C129" t="s">
        <v>125</v>
      </c>
      <c r="D129">
        <v>9</v>
      </c>
      <c r="E129" t="s">
        <v>71</v>
      </c>
      <c r="F129" t="s">
        <v>325</v>
      </c>
      <c r="G129" t="e">
        <f>VLOOKUP(A129,fullrosterCWLrole!$A$1:$B$300,2,FALSE)</f>
        <v>#N/A</v>
      </c>
    </row>
    <row r="130" spans="1:7" x14ac:dyDescent="0.25">
      <c r="A130" t="s">
        <v>326</v>
      </c>
      <c r="B130" t="s">
        <v>327</v>
      </c>
      <c r="C130" t="s">
        <v>125</v>
      </c>
      <c r="D130">
        <v>14</v>
      </c>
      <c r="E130" t="s">
        <v>328</v>
      </c>
      <c r="F130" t="s">
        <v>29</v>
      </c>
      <c r="G130" t="str">
        <f>VLOOKUP(A130,fullrosterCWLrole!$A$1:$B$300,2,FALSE)</f>
        <v>Attacker</v>
      </c>
    </row>
    <row r="131" spans="1:7" x14ac:dyDescent="0.25">
      <c r="A131" t="s">
        <v>329</v>
      </c>
      <c r="B131" t="s">
        <v>330</v>
      </c>
      <c r="C131" t="s">
        <v>8</v>
      </c>
      <c r="D131">
        <v>13</v>
      </c>
      <c r="E131" t="s">
        <v>328</v>
      </c>
      <c r="F131" t="s">
        <v>29</v>
      </c>
      <c r="G131" t="str">
        <f>VLOOKUP(A131,fullrosterCWLrole!$A$1:$B$300,2,FALSE)</f>
        <v>Backup Final</v>
      </c>
    </row>
    <row r="132" spans="1:7" x14ac:dyDescent="0.25">
      <c r="A132" t="s">
        <v>331</v>
      </c>
      <c r="B132" t="s">
        <v>332</v>
      </c>
      <c r="C132" t="s">
        <v>22</v>
      </c>
      <c r="D132">
        <v>13</v>
      </c>
      <c r="E132" t="s">
        <v>328</v>
      </c>
      <c r="F132" t="s">
        <v>29</v>
      </c>
      <c r="G132" t="str">
        <f>VLOOKUP(A132,fullrosterCWLrole!$A$1:$B$300,2,FALSE)</f>
        <v>Attacker</v>
      </c>
    </row>
    <row r="133" spans="1:7" x14ac:dyDescent="0.25">
      <c r="A133" t="s">
        <v>333</v>
      </c>
      <c r="B133" t="s">
        <v>334</v>
      </c>
      <c r="C133" t="s">
        <v>27</v>
      </c>
      <c r="D133">
        <v>14</v>
      </c>
      <c r="E133" t="s">
        <v>335</v>
      </c>
      <c r="F133" t="s">
        <v>29</v>
      </c>
      <c r="G133" t="str">
        <f>VLOOKUP(A133,fullrosterCWLrole!$A$1:$B$300,2,FALSE)</f>
        <v>Attacker</v>
      </c>
    </row>
    <row r="134" spans="1:7" x14ac:dyDescent="0.25">
      <c r="A134" t="s">
        <v>336</v>
      </c>
      <c r="B134" t="s">
        <v>337</v>
      </c>
      <c r="C134" t="s">
        <v>22</v>
      </c>
      <c r="D134">
        <v>14</v>
      </c>
      <c r="E134" t="s">
        <v>335</v>
      </c>
      <c r="F134" t="s">
        <v>29</v>
      </c>
      <c r="G134" t="str">
        <f>VLOOKUP(A134,fullrosterCWLrole!$A$1:$B$300,2,FALSE)</f>
        <v>Attacker</v>
      </c>
    </row>
    <row r="135" spans="1:7" x14ac:dyDescent="0.25">
      <c r="A135" t="s">
        <v>338</v>
      </c>
      <c r="B135" t="s">
        <v>339</v>
      </c>
      <c r="C135" t="s">
        <v>22</v>
      </c>
      <c r="D135">
        <v>13</v>
      </c>
      <c r="E135" t="s">
        <v>335</v>
      </c>
      <c r="F135" t="s">
        <v>29</v>
      </c>
      <c r="G135" t="str">
        <f>VLOOKUP(A135,fullrosterCWLrole!$A$1:$B$300,2,FALSE)</f>
        <v>Attacker</v>
      </c>
    </row>
    <row r="136" spans="1:7" x14ac:dyDescent="0.25">
      <c r="A136" t="s">
        <v>340</v>
      </c>
      <c r="B136" t="s">
        <v>341</v>
      </c>
      <c r="C136" t="s">
        <v>22</v>
      </c>
      <c r="D136">
        <v>13</v>
      </c>
      <c r="E136" t="s">
        <v>335</v>
      </c>
      <c r="F136" t="s">
        <v>29</v>
      </c>
      <c r="G136" t="str">
        <f>VLOOKUP(A136,fullrosterCWLrole!$A$1:$B$300,2,FALSE)</f>
        <v>Attacker</v>
      </c>
    </row>
    <row r="137" spans="1:7" x14ac:dyDescent="0.25">
      <c r="A137" t="s">
        <v>342</v>
      </c>
      <c r="B137" t="s">
        <v>343</v>
      </c>
      <c r="C137" t="s">
        <v>22</v>
      </c>
      <c r="D137">
        <v>12</v>
      </c>
      <c r="E137" t="s">
        <v>335</v>
      </c>
      <c r="F137" t="s">
        <v>29</v>
      </c>
      <c r="G137" t="str">
        <f>VLOOKUP(A137,fullrosterCWLrole!$A$1:$B$300,2,FALSE)</f>
        <v>Attacker</v>
      </c>
    </row>
    <row r="138" spans="1:7" x14ac:dyDescent="0.25">
      <c r="A138" t="s">
        <v>344</v>
      </c>
      <c r="B138" t="s">
        <v>345</v>
      </c>
      <c r="C138" t="s">
        <v>27</v>
      </c>
      <c r="D138">
        <v>14</v>
      </c>
      <c r="E138" t="s">
        <v>335</v>
      </c>
      <c r="F138" t="s">
        <v>29</v>
      </c>
      <c r="G138" t="str">
        <f>VLOOKUP(A138,fullrosterCWLrole!$A$1:$B$300,2,FALSE)</f>
        <v>Attacker</v>
      </c>
    </row>
    <row r="139" spans="1:7" x14ac:dyDescent="0.25">
      <c r="A139" t="s">
        <v>346</v>
      </c>
      <c r="B139" t="s">
        <v>347</v>
      </c>
      <c r="C139" t="s">
        <v>22</v>
      </c>
      <c r="D139">
        <v>14</v>
      </c>
      <c r="E139" t="s">
        <v>9</v>
      </c>
      <c r="F139" t="s">
        <v>29</v>
      </c>
      <c r="G139" t="str">
        <f>VLOOKUP(A139,fullrosterCWLrole!$A$1:$B$300,2,FALSE)</f>
        <v>Attacker</v>
      </c>
    </row>
    <row r="140" spans="1:7" x14ac:dyDescent="0.25">
      <c r="A140" t="s">
        <v>348</v>
      </c>
      <c r="B140" t="s">
        <v>349</v>
      </c>
      <c r="C140" t="s">
        <v>8</v>
      </c>
      <c r="D140">
        <v>14</v>
      </c>
      <c r="E140" t="s">
        <v>335</v>
      </c>
      <c r="F140" t="s">
        <v>29</v>
      </c>
      <c r="G140" t="e">
        <f>VLOOKUP(A140,fullrosterCWLrole!$A$1:$B$300,2,FALSE)</f>
        <v>#N/A</v>
      </c>
    </row>
    <row r="141" spans="1:7" x14ac:dyDescent="0.25">
      <c r="A141" t="s">
        <v>350</v>
      </c>
      <c r="B141" t="s">
        <v>351</v>
      </c>
      <c r="C141" t="s">
        <v>22</v>
      </c>
      <c r="D141">
        <v>13</v>
      </c>
      <c r="E141" t="s">
        <v>9</v>
      </c>
      <c r="F141" t="s">
        <v>29</v>
      </c>
      <c r="G141" t="str">
        <f>VLOOKUP(A141,fullrosterCWLrole!$A$1:$B$300,2,FALSE)</f>
        <v>Attacker</v>
      </c>
    </row>
    <row r="142" spans="1:7" x14ac:dyDescent="0.25">
      <c r="A142" t="s">
        <v>352</v>
      </c>
      <c r="B142" t="s">
        <v>353</v>
      </c>
      <c r="C142" t="s">
        <v>8</v>
      </c>
      <c r="D142">
        <v>13</v>
      </c>
      <c r="E142" t="s">
        <v>354</v>
      </c>
      <c r="F142" t="s">
        <v>29</v>
      </c>
      <c r="G142" t="str">
        <f>VLOOKUP(A142,fullrosterCWLrole!$A$1:$B$300,2,FALSE)</f>
        <v>Bench</v>
      </c>
    </row>
    <row r="143" spans="1:7" x14ac:dyDescent="0.25">
      <c r="A143" t="s">
        <v>355</v>
      </c>
      <c r="B143" t="s">
        <v>356</v>
      </c>
      <c r="C143" t="s">
        <v>22</v>
      </c>
      <c r="D143">
        <v>14</v>
      </c>
      <c r="E143" t="s">
        <v>15</v>
      </c>
      <c r="F143" t="s">
        <v>29</v>
      </c>
      <c r="G143" t="str">
        <f>VLOOKUP(A143,fullrosterCWLrole!$A$1:$B$300,2,FALSE)</f>
        <v>Attacker</v>
      </c>
    </row>
    <row r="144" spans="1:7" x14ac:dyDescent="0.25">
      <c r="A144" t="s">
        <v>357</v>
      </c>
      <c r="B144" t="s">
        <v>358</v>
      </c>
      <c r="C144" t="s">
        <v>22</v>
      </c>
      <c r="D144">
        <v>13</v>
      </c>
      <c r="E144" t="s">
        <v>15</v>
      </c>
      <c r="F144" t="s">
        <v>29</v>
      </c>
      <c r="G144" t="str">
        <f>VLOOKUP(A144,fullrosterCWLrole!$A$1:$B$300,2,FALSE)</f>
        <v>Attacker</v>
      </c>
    </row>
    <row r="145" spans="1:7" x14ac:dyDescent="0.25">
      <c r="A145" t="s">
        <v>359</v>
      </c>
      <c r="B145" t="s">
        <v>360</v>
      </c>
      <c r="C145" t="s">
        <v>8</v>
      </c>
      <c r="D145">
        <v>13</v>
      </c>
      <c r="E145" t="s">
        <v>19</v>
      </c>
      <c r="F145" t="s">
        <v>29</v>
      </c>
      <c r="G145" t="str">
        <f>VLOOKUP(A145,fullrosterCWLrole!$A$1:$B$300,2,FALSE)</f>
        <v>Attacker</v>
      </c>
    </row>
    <row r="146" spans="1:7" x14ac:dyDescent="0.25">
      <c r="A146" t="s">
        <v>361</v>
      </c>
      <c r="B146" t="s">
        <v>362</v>
      </c>
      <c r="C146" t="s">
        <v>22</v>
      </c>
      <c r="D146">
        <v>12</v>
      </c>
      <c r="E146" t="s">
        <v>19</v>
      </c>
      <c r="F146" t="s">
        <v>29</v>
      </c>
      <c r="G146" t="str">
        <f>VLOOKUP(A146,fullrosterCWLrole!$A$1:$B$300,2,FALSE)</f>
        <v>Attacker</v>
      </c>
    </row>
    <row r="147" spans="1:7" x14ac:dyDescent="0.25">
      <c r="A147" t="s">
        <v>363</v>
      </c>
      <c r="B147" t="s">
        <v>364</v>
      </c>
      <c r="C147" t="s">
        <v>22</v>
      </c>
      <c r="D147">
        <v>14</v>
      </c>
      <c r="E147" t="s">
        <v>19</v>
      </c>
      <c r="F147" t="s">
        <v>29</v>
      </c>
      <c r="G147" t="str">
        <f>VLOOKUP(A147,fullrosterCWLrole!$A$1:$B$300,2,FALSE)</f>
        <v>Attacker</v>
      </c>
    </row>
    <row r="148" spans="1:7" x14ac:dyDescent="0.25">
      <c r="A148" t="s">
        <v>365</v>
      </c>
      <c r="B148" t="s">
        <v>366</v>
      </c>
      <c r="C148" t="s">
        <v>8</v>
      </c>
      <c r="D148">
        <v>13</v>
      </c>
      <c r="E148" t="s">
        <v>19</v>
      </c>
      <c r="F148" t="s">
        <v>29</v>
      </c>
      <c r="G148" t="str">
        <f>VLOOKUP(A148,fullrosterCWLrole!$A$1:$B$300,2,FALSE)</f>
        <v>Attacker</v>
      </c>
    </row>
    <row r="149" spans="1:7" x14ac:dyDescent="0.25">
      <c r="A149" t="s">
        <v>367</v>
      </c>
      <c r="B149" t="s">
        <v>368</v>
      </c>
      <c r="C149" t="s">
        <v>8</v>
      </c>
      <c r="D149">
        <v>14</v>
      </c>
      <c r="E149" t="s">
        <v>19</v>
      </c>
      <c r="F149" t="s">
        <v>29</v>
      </c>
      <c r="G149" t="str">
        <f>VLOOKUP(A149,fullrosterCWLrole!$A$1:$B$300,2,FALSE)</f>
        <v>Attacking Donor</v>
      </c>
    </row>
    <row r="150" spans="1:7" x14ac:dyDescent="0.25">
      <c r="A150" t="s">
        <v>369</v>
      </c>
      <c r="B150" t="s">
        <v>370</v>
      </c>
      <c r="C150" t="s">
        <v>27</v>
      </c>
      <c r="D150">
        <v>11</v>
      </c>
      <c r="E150" t="s">
        <v>23</v>
      </c>
      <c r="F150" t="s">
        <v>29</v>
      </c>
      <c r="G150" t="str">
        <f>VLOOKUP(A150,fullrosterCWLrole!$A$1:$B$300,2,FALSE)</f>
        <v>Attacker</v>
      </c>
    </row>
    <row r="151" spans="1:7" x14ac:dyDescent="0.25">
      <c r="A151" t="s">
        <v>371</v>
      </c>
      <c r="B151" t="s">
        <v>372</v>
      </c>
      <c r="C151" t="s">
        <v>27</v>
      </c>
      <c r="D151">
        <v>10</v>
      </c>
      <c r="E151" t="s">
        <v>23</v>
      </c>
      <c r="F151" t="s">
        <v>29</v>
      </c>
      <c r="G151" t="str">
        <f>VLOOKUP(A151,fullrosterCWLrole!$A$1:$B$300,2,FALSE)</f>
        <v>Attacker</v>
      </c>
    </row>
    <row r="152" spans="1:7" x14ac:dyDescent="0.25">
      <c r="A152" t="s">
        <v>373</v>
      </c>
      <c r="B152" t="s">
        <v>374</v>
      </c>
      <c r="C152" t="s">
        <v>8</v>
      </c>
      <c r="D152">
        <v>11</v>
      </c>
      <c r="E152" t="s">
        <v>23</v>
      </c>
      <c r="F152" t="s">
        <v>29</v>
      </c>
      <c r="G152" t="str">
        <f>VLOOKUP(A152,fullrosterCWLrole!$A$1:$B$300,2,FALSE)</f>
        <v>Attacker</v>
      </c>
    </row>
    <row r="153" spans="1:7" x14ac:dyDescent="0.25">
      <c r="A153" t="s">
        <v>375</v>
      </c>
      <c r="B153" t="s">
        <v>376</v>
      </c>
      <c r="C153" t="s">
        <v>22</v>
      </c>
      <c r="D153">
        <v>10</v>
      </c>
      <c r="E153" t="s">
        <v>23</v>
      </c>
      <c r="F153" t="s">
        <v>29</v>
      </c>
      <c r="G153" t="str">
        <f>VLOOKUP(A153,fullrosterCWLrole!$A$1:$B$300,2,FALSE)</f>
        <v>Attacker</v>
      </c>
    </row>
    <row r="154" spans="1:7" x14ac:dyDescent="0.25">
      <c r="A154" t="s">
        <v>377</v>
      </c>
      <c r="B154" t="s">
        <v>378</v>
      </c>
      <c r="C154" t="s">
        <v>8</v>
      </c>
      <c r="D154">
        <v>11</v>
      </c>
      <c r="E154" t="s">
        <v>28</v>
      </c>
      <c r="F154" t="s">
        <v>29</v>
      </c>
      <c r="G154" t="str">
        <f>VLOOKUP(A154,fullrosterCWLrole!$A$1:$B$300,2,FALSE)</f>
        <v>Attacker</v>
      </c>
    </row>
    <row r="155" spans="1:7" x14ac:dyDescent="0.25">
      <c r="A155" t="s">
        <v>379</v>
      </c>
      <c r="B155" t="s">
        <v>380</v>
      </c>
      <c r="C155" t="s">
        <v>8</v>
      </c>
      <c r="D155">
        <v>11</v>
      </c>
      <c r="E155" t="s">
        <v>28</v>
      </c>
      <c r="F155" t="s">
        <v>29</v>
      </c>
      <c r="G155" t="e">
        <f>VLOOKUP(A155,fullrosterCWLrole!$A$1:$B$300,2,FALSE)</f>
        <v>#N/A</v>
      </c>
    </row>
    <row r="156" spans="1:7" x14ac:dyDescent="0.25">
      <c r="A156" t="s">
        <v>381</v>
      </c>
      <c r="B156" t="s">
        <v>382</v>
      </c>
      <c r="C156" t="s">
        <v>8</v>
      </c>
      <c r="D156">
        <v>12</v>
      </c>
      <c r="E156" t="s">
        <v>28</v>
      </c>
      <c r="F156" t="s">
        <v>29</v>
      </c>
      <c r="G156" t="str">
        <f>VLOOKUP(A156,fullrosterCWLrole!$A$1:$B$300,2,FALSE)</f>
        <v>Attacker</v>
      </c>
    </row>
    <row r="157" spans="1:7" x14ac:dyDescent="0.25">
      <c r="A157" t="s">
        <v>383</v>
      </c>
      <c r="B157" t="s">
        <v>384</v>
      </c>
      <c r="C157" t="s">
        <v>27</v>
      </c>
      <c r="D157">
        <v>11</v>
      </c>
      <c r="E157" t="s">
        <v>148</v>
      </c>
      <c r="F157" t="s">
        <v>29</v>
      </c>
      <c r="G157" t="str">
        <f>VLOOKUP(A157,fullrosterCWLrole!$A$1:$B$300,2,FALSE)</f>
        <v>Attacker</v>
      </c>
    </row>
    <row r="158" spans="1:7" x14ac:dyDescent="0.25">
      <c r="A158" t="s">
        <v>385</v>
      </c>
      <c r="B158" t="s">
        <v>386</v>
      </c>
      <c r="C158" t="s">
        <v>8</v>
      </c>
      <c r="D158">
        <v>12</v>
      </c>
      <c r="E158" t="s">
        <v>28</v>
      </c>
      <c r="F158" t="s">
        <v>29</v>
      </c>
      <c r="G158" t="str">
        <f>VLOOKUP(A158,fullrosterCWLrole!$A$1:$B$300,2,FALSE)</f>
        <v>Attacker</v>
      </c>
    </row>
    <row r="159" spans="1:7" x14ac:dyDescent="0.25">
      <c r="A159" t="s">
        <v>387</v>
      </c>
      <c r="B159" t="s">
        <v>388</v>
      </c>
      <c r="C159" t="s">
        <v>27</v>
      </c>
      <c r="D159">
        <v>11</v>
      </c>
      <c r="E159" t="s">
        <v>28</v>
      </c>
      <c r="F159" t="s">
        <v>29</v>
      </c>
      <c r="G159" t="str">
        <f>VLOOKUP(A159,fullrosterCWLrole!$A$1:$B$300,2,FALSE)</f>
        <v>Attacker</v>
      </c>
    </row>
    <row r="160" spans="1:7" x14ac:dyDescent="0.25">
      <c r="A160" t="s">
        <v>389</v>
      </c>
      <c r="B160" t="s">
        <v>390</v>
      </c>
      <c r="C160" t="s">
        <v>8</v>
      </c>
      <c r="D160">
        <v>10</v>
      </c>
      <c r="E160" t="s">
        <v>148</v>
      </c>
      <c r="F160" t="s">
        <v>29</v>
      </c>
      <c r="G160" t="str">
        <f>VLOOKUP(A160,fullrosterCWLrole!$A$1:$B$300,2,FALSE)</f>
        <v>Attacker</v>
      </c>
    </row>
    <row r="161" spans="1:7" x14ac:dyDescent="0.25">
      <c r="A161" t="s">
        <v>391</v>
      </c>
      <c r="B161" t="s">
        <v>392</v>
      </c>
      <c r="C161" t="s">
        <v>8</v>
      </c>
      <c r="D161">
        <v>10</v>
      </c>
      <c r="E161" t="s">
        <v>184</v>
      </c>
      <c r="F161" t="s">
        <v>29</v>
      </c>
      <c r="G161" t="str">
        <f>VLOOKUP(A161,fullrosterCWLrole!$A$1:$B$300,2,FALSE)</f>
        <v>Attacker</v>
      </c>
    </row>
    <row r="162" spans="1:7" x14ac:dyDescent="0.25">
      <c r="A162" t="s">
        <v>393</v>
      </c>
      <c r="B162" t="s">
        <v>394</v>
      </c>
      <c r="C162" t="s">
        <v>8</v>
      </c>
      <c r="D162">
        <v>11</v>
      </c>
      <c r="E162" t="s">
        <v>184</v>
      </c>
      <c r="F162" t="s">
        <v>29</v>
      </c>
      <c r="G162" t="str">
        <f>VLOOKUP(A162,fullrosterCWLrole!$A$1:$B$300,2,FALSE)</f>
        <v>Attacker</v>
      </c>
    </row>
    <row r="163" spans="1:7" x14ac:dyDescent="0.25">
      <c r="A163" t="s">
        <v>395</v>
      </c>
      <c r="B163" t="s">
        <v>396</v>
      </c>
      <c r="C163" t="s">
        <v>8</v>
      </c>
      <c r="D163">
        <v>11</v>
      </c>
      <c r="E163" t="s">
        <v>397</v>
      </c>
      <c r="F163" t="s">
        <v>29</v>
      </c>
      <c r="G163" t="str">
        <f>VLOOKUP(A163,fullrosterCWLrole!$A$1:$B$300,2,FALSE)</f>
        <v>Attacker</v>
      </c>
    </row>
    <row r="164" spans="1:7" x14ac:dyDescent="0.25">
      <c r="A164" t="s">
        <v>398</v>
      </c>
      <c r="B164" t="s">
        <v>399</v>
      </c>
      <c r="C164" t="s">
        <v>8</v>
      </c>
      <c r="D164">
        <v>11</v>
      </c>
      <c r="E164" t="s">
        <v>184</v>
      </c>
      <c r="F164" t="s">
        <v>29</v>
      </c>
      <c r="G164" t="str">
        <f>VLOOKUP(A164,fullrosterCWLrole!$A$1:$B$300,2,FALSE)</f>
        <v>Attacker</v>
      </c>
    </row>
    <row r="165" spans="1:7" x14ac:dyDescent="0.25">
      <c r="A165" t="s">
        <v>400</v>
      </c>
      <c r="B165" t="s">
        <v>401</v>
      </c>
      <c r="C165" t="s">
        <v>8</v>
      </c>
      <c r="D165">
        <v>11</v>
      </c>
      <c r="E165" t="s">
        <v>184</v>
      </c>
      <c r="F165" t="s">
        <v>29</v>
      </c>
      <c r="G165" t="str">
        <f>VLOOKUP(A165,fullrosterCWLrole!$A$1:$B$300,2,FALSE)</f>
        <v>Attacker</v>
      </c>
    </row>
    <row r="166" spans="1:7" x14ac:dyDescent="0.25">
      <c r="A166" t="s">
        <v>402</v>
      </c>
      <c r="B166" t="s">
        <v>403</v>
      </c>
      <c r="C166" t="s">
        <v>8</v>
      </c>
      <c r="D166">
        <v>10</v>
      </c>
      <c r="E166" t="s">
        <v>184</v>
      </c>
      <c r="F166" t="s">
        <v>29</v>
      </c>
      <c r="G166" t="str">
        <f>VLOOKUP(A166,fullrosterCWLrole!$A$1:$B$300,2,FALSE)</f>
        <v>Attacker</v>
      </c>
    </row>
    <row r="167" spans="1:7" x14ac:dyDescent="0.25">
      <c r="A167" t="s">
        <v>404</v>
      </c>
      <c r="B167" t="s">
        <v>405</v>
      </c>
      <c r="C167" t="s">
        <v>8</v>
      </c>
      <c r="D167">
        <v>11</v>
      </c>
      <c r="E167" t="s">
        <v>397</v>
      </c>
      <c r="F167" t="s">
        <v>29</v>
      </c>
      <c r="G167" t="str">
        <f>VLOOKUP(A167,fullrosterCWLrole!$A$1:$B$300,2,FALSE)</f>
        <v>Attacker</v>
      </c>
    </row>
    <row r="168" spans="1:7" x14ac:dyDescent="0.25">
      <c r="A168" t="s">
        <v>406</v>
      </c>
      <c r="B168" t="s">
        <v>407</v>
      </c>
      <c r="C168" t="s">
        <v>8</v>
      </c>
      <c r="D168">
        <v>10</v>
      </c>
      <c r="E168" t="s">
        <v>397</v>
      </c>
      <c r="F168" t="s">
        <v>29</v>
      </c>
      <c r="G168" t="str">
        <f>VLOOKUP(A168,fullrosterCWLrole!$A$1:$B$300,2,FALSE)</f>
        <v>Attacker</v>
      </c>
    </row>
    <row r="169" spans="1:7" x14ac:dyDescent="0.25">
      <c r="A169" t="s">
        <v>408</v>
      </c>
      <c r="B169" t="s">
        <v>409</v>
      </c>
      <c r="C169" t="s">
        <v>8</v>
      </c>
      <c r="D169">
        <v>10</v>
      </c>
      <c r="E169" t="s">
        <v>397</v>
      </c>
      <c r="F169" t="s">
        <v>29</v>
      </c>
      <c r="G169" t="str">
        <f>VLOOKUP(A169,fullrosterCWLrole!$A$1:$B$300,2,FALSE)</f>
        <v>Attacker</v>
      </c>
    </row>
    <row r="170" spans="1:7" x14ac:dyDescent="0.25">
      <c r="A170" t="s">
        <v>410</v>
      </c>
      <c r="B170" t="s">
        <v>411</v>
      </c>
      <c r="C170" t="s">
        <v>8</v>
      </c>
      <c r="D170">
        <v>10</v>
      </c>
      <c r="E170" t="s">
        <v>32</v>
      </c>
      <c r="F170" t="s">
        <v>29</v>
      </c>
      <c r="G170" t="e">
        <f>VLOOKUP(A170,fullrosterCWLrole!$A$1:$B$300,2,FALSE)</f>
        <v>#N/A</v>
      </c>
    </row>
    <row r="171" spans="1:7" x14ac:dyDescent="0.25">
      <c r="A171" t="s">
        <v>412</v>
      </c>
      <c r="B171" t="s">
        <v>413</v>
      </c>
      <c r="C171" t="s">
        <v>8</v>
      </c>
      <c r="D171">
        <v>10</v>
      </c>
      <c r="E171" t="s">
        <v>397</v>
      </c>
      <c r="F171" t="s">
        <v>29</v>
      </c>
      <c r="G171" t="str">
        <f>VLOOKUP(A171,fullrosterCWLrole!$A$1:$B$300,2,FALSE)</f>
        <v>Attacker</v>
      </c>
    </row>
    <row r="172" spans="1:7" x14ac:dyDescent="0.25">
      <c r="A172" t="s">
        <v>414</v>
      </c>
      <c r="B172" t="s">
        <v>415</v>
      </c>
      <c r="C172" t="s">
        <v>8</v>
      </c>
      <c r="D172">
        <v>11</v>
      </c>
      <c r="E172" t="s">
        <v>36</v>
      </c>
      <c r="F172" t="s">
        <v>29</v>
      </c>
      <c r="G172" t="e">
        <f>VLOOKUP(A172,fullrosterCWLrole!$A$1:$B$300,2,FALSE)</f>
        <v>#N/A</v>
      </c>
    </row>
    <row r="173" spans="1:7" x14ac:dyDescent="0.25">
      <c r="A173" t="s">
        <v>416</v>
      </c>
      <c r="B173" t="s">
        <v>417</v>
      </c>
      <c r="C173" t="s">
        <v>8</v>
      </c>
      <c r="D173">
        <v>10</v>
      </c>
      <c r="E173" t="s">
        <v>36</v>
      </c>
      <c r="F173" t="s">
        <v>29</v>
      </c>
      <c r="G173" t="str">
        <f>VLOOKUP(A173,fullrosterCWLrole!$A$1:$B$300,2,FALSE)</f>
        <v>Attacker</v>
      </c>
    </row>
    <row r="174" spans="1:7" x14ac:dyDescent="0.25">
      <c r="A174" t="s">
        <v>418</v>
      </c>
      <c r="B174" t="s">
        <v>419</v>
      </c>
      <c r="C174" t="s">
        <v>8</v>
      </c>
      <c r="D174">
        <v>10</v>
      </c>
      <c r="E174" t="s">
        <v>36</v>
      </c>
      <c r="F174" t="s">
        <v>29</v>
      </c>
      <c r="G174" t="e">
        <f>VLOOKUP(A174,fullrosterCWLrole!$A$1:$B$300,2,FALSE)</f>
        <v>#N/A</v>
      </c>
    </row>
    <row r="175" spans="1:7" x14ac:dyDescent="0.25">
      <c r="A175" t="s">
        <v>420</v>
      </c>
      <c r="B175" t="s">
        <v>421</v>
      </c>
      <c r="C175" t="s">
        <v>8</v>
      </c>
      <c r="D175">
        <v>9</v>
      </c>
      <c r="E175" t="s">
        <v>71</v>
      </c>
      <c r="F175" t="s">
        <v>29</v>
      </c>
      <c r="G175" t="str">
        <f>VLOOKUP(A175,fullrosterCWLrole!$A$1:$B$300,2,FALSE)</f>
        <v>Attacker</v>
      </c>
    </row>
    <row r="176" spans="1:7" x14ac:dyDescent="0.25">
      <c r="A176" t="s">
        <v>422</v>
      </c>
      <c r="B176" t="s">
        <v>423</v>
      </c>
      <c r="C176" t="s">
        <v>22</v>
      </c>
      <c r="D176">
        <v>11</v>
      </c>
      <c r="E176" t="s">
        <v>103</v>
      </c>
      <c r="F176" t="s">
        <v>29</v>
      </c>
      <c r="G176" t="str">
        <f>VLOOKUP(A176,fullrosterCWLrole!$A$1:$B$300,2,FALSE)</f>
        <v>Attacker</v>
      </c>
    </row>
    <row r="177" spans="1:7" x14ac:dyDescent="0.25">
      <c r="A177" t="s">
        <v>424</v>
      </c>
      <c r="B177" t="s">
        <v>425</v>
      </c>
      <c r="C177" t="s">
        <v>125</v>
      </c>
      <c r="D177">
        <v>10</v>
      </c>
      <c r="E177" t="s">
        <v>83</v>
      </c>
      <c r="F177" t="s">
        <v>426</v>
      </c>
      <c r="G177" t="str">
        <f>VLOOKUP(A177,fullrosterCWLrole!$A$1:$B$300,2,FALSE)</f>
        <v>Other</v>
      </c>
    </row>
    <row r="178" spans="1:7" x14ac:dyDescent="0.25">
      <c r="A178" t="s">
        <v>427</v>
      </c>
      <c r="B178" t="s">
        <v>428</v>
      </c>
      <c r="C178" t="s">
        <v>22</v>
      </c>
      <c r="D178">
        <v>9</v>
      </c>
      <c r="E178" t="s">
        <v>83</v>
      </c>
      <c r="F178" t="s">
        <v>426</v>
      </c>
      <c r="G178" t="str">
        <f>VLOOKUP(A178,fullrosterCWLrole!$A$1:$B$300,2,FALSE)</f>
        <v>Backup</v>
      </c>
    </row>
    <row r="179" spans="1:7" x14ac:dyDescent="0.25">
      <c r="A179" t="s">
        <v>429</v>
      </c>
      <c r="B179" t="s">
        <v>430</v>
      </c>
      <c r="C179" t="s">
        <v>8</v>
      </c>
      <c r="D179">
        <v>12</v>
      </c>
      <c r="E179" t="s">
        <v>9</v>
      </c>
      <c r="F179" t="s">
        <v>16</v>
      </c>
      <c r="G179" t="str">
        <f>VLOOKUP(A179,fullrosterCWLrole!$A$1:$B$300,2,FALSE)</f>
        <v>Attacker</v>
      </c>
    </row>
    <row r="180" spans="1:7" x14ac:dyDescent="0.25">
      <c r="A180" t="s">
        <v>431</v>
      </c>
      <c r="B180" t="s">
        <v>432</v>
      </c>
      <c r="C180" t="s">
        <v>8</v>
      </c>
      <c r="D180">
        <v>13</v>
      </c>
      <c r="E180" t="s">
        <v>354</v>
      </c>
      <c r="F180" t="s">
        <v>16</v>
      </c>
      <c r="G180" t="e">
        <f>VLOOKUP(A180,fullrosterCWLrole!$A$1:$B$300,2,FALSE)</f>
        <v>#N/A</v>
      </c>
    </row>
    <row r="181" spans="1:7" x14ac:dyDescent="0.25">
      <c r="A181" t="s">
        <v>433</v>
      </c>
      <c r="B181" t="s">
        <v>434</v>
      </c>
      <c r="C181" t="s">
        <v>8</v>
      </c>
      <c r="D181">
        <v>14</v>
      </c>
      <c r="E181" t="s">
        <v>354</v>
      </c>
      <c r="F181" t="s">
        <v>16</v>
      </c>
      <c r="G181" t="str">
        <f>VLOOKUP(A181,fullrosterCWLrole!$A$1:$B$300,2,FALSE)</f>
        <v>Attacker</v>
      </c>
    </row>
    <row r="182" spans="1:7" x14ac:dyDescent="0.25">
      <c r="A182" t="s">
        <v>435</v>
      </c>
      <c r="B182" t="s">
        <v>436</v>
      </c>
      <c r="C182" t="s">
        <v>8</v>
      </c>
      <c r="D182">
        <v>10</v>
      </c>
      <c r="E182" t="s">
        <v>15</v>
      </c>
      <c r="F182" t="s">
        <v>16</v>
      </c>
      <c r="G182" t="str">
        <f>VLOOKUP(A182,fullrosterCWLrole!$A$1:$B$300,2,FALSE)</f>
        <v>Attacker</v>
      </c>
    </row>
    <row r="183" spans="1:7" x14ac:dyDescent="0.25">
      <c r="A183" t="s">
        <v>437</v>
      </c>
      <c r="B183" t="s">
        <v>438</v>
      </c>
      <c r="C183" t="s">
        <v>8</v>
      </c>
      <c r="D183">
        <v>12</v>
      </c>
      <c r="E183" t="s">
        <v>19</v>
      </c>
      <c r="F183" t="s">
        <v>16</v>
      </c>
      <c r="G183" t="str">
        <f>VLOOKUP(A183,fullrosterCWLrole!$A$1:$B$300,2,FALSE)</f>
        <v>Attacker</v>
      </c>
    </row>
    <row r="184" spans="1:7" x14ac:dyDescent="0.25">
      <c r="A184" t="s">
        <v>439</v>
      </c>
      <c r="B184" t="s">
        <v>440</v>
      </c>
      <c r="C184" t="s">
        <v>22</v>
      </c>
      <c r="D184">
        <v>12</v>
      </c>
      <c r="E184" t="s">
        <v>23</v>
      </c>
      <c r="F184" t="s">
        <v>16</v>
      </c>
      <c r="G184" t="str">
        <f>VLOOKUP(A184,fullrosterCWLrole!$A$1:$B$300,2,FALSE)</f>
        <v>Attacker</v>
      </c>
    </row>
    <row r="185" spans="1:7" x14ac:dyDescent="0.25">
      <c r="A185" t="s">
        <v>441</v>
      </c>
      <c r="B185" t="s">
        <v>442</v>
      </c>
      <c r="C185" t="s">
        <v>22</v>
      </c>
      <c r="D185">
        <v>13</v>
      </c>
      <c r="E185" t="s">
        <v>28</v>
      </c>
      <c r="F185" t="s">
        <v>16</v>
      </c>
      <c r="G185" t="str">
        <f>VLOOKUP(A185,fullrosterCWLrole!$A$1:$B$300,2,FALSE)</f>
        <v>Attacking Donor</v>
      </c>
    </row>
    <row r="186" spans="1:7" x14ac:dyDescent="0.25">
      <c r="A186" t="s">
        <v>443</v>
      </c>
      <c r="B186" t="s">
        <v>444</v>
      </c>
      <c r="C186" t="s">
        <v>8</v>
      </c>
      <c r="D186">
        <v>12</v>
      </c>
      <c r="E186" t="s">
        <v>28</v>
      </c>
      <c r="F186" t="s">
        <v>16</v>
      </c>
      <c r="G186" t="str">
        <f>VLOOKUP(A186,fullrosterCWLrole!$A$1:$B$300,2,FALSE)</f>
        <v>Backup</v>
      </c>
    </row>
    <row r="187" spans="1:7" x14ac:dyDescent="0.25">
      <c r="A187" t="s">
        <v>445</v>
      </c>
      <c r="B187" t="s">
        <v>446</v>
      </c>
      <c r="C187" t="s">
        <v>8</v>
      </c>
      <c r="D187">
        <v>10</v>
      </c>
      <c r="E187" t="s">
        <v>148</v>
      </c>
      <c r="F187" t="s">
        <v>16</v>
      </c>
      <c r="G187" t="str">
        <f>VLOOKUP(A187,fullrosterCWLrole!$A$1:$B$300,2,FALSE)</f>
        <v>Attacker</v>
      </c>
    </row>
    <row r="188" spans="1:7" x14ac:dyDescent="0.25">
      <c r="A188" t="s">
        <v>447</v>
      </c>
      <c r="B188" t="s">
        <v>448</v>
      </c>
      <c r="C188" t="s">
        <v>8</v>
      </c>
      <c r="D188">
        <v>9</v>
      </c>
      <c r="E188" t="s">
        <v>148</v>
      </c>
      <c r="F188" t="s">
        <v>16</v>
      </c>
      <c r="G188" t="e">
        <f>VLOOKUP(A188,fullrosterCWLrole!$A$1:$B$300,2,FALSE)</f>
        <v>#N/A</v>
      </c>
    </row>
    <row r="189" spans="1:7" x14ac:dyDescent="0.25">
      <c r="A189" t="s">
        <v>449</v>
      </c>
      <c r="B189" t="s">
        <v>450</v>
      </c>
      <c r="C189" t="s">
        <v>8</v>
      </c>
      <c r="D189">
        <v>11</v>
      </c>
      <c r="E189" t="s">
        <v>148</v>
      </c>
      <c r="F189" t="s">
        <v>16</v>
      </c>
      <c r="G189" t="e">
        <f>VLOOKUP(A189,fullrosterCWLrole!$A$1:$B$300,2,FALSE)</f>
        <v>#N/A</v>
      </c>
    </row>
    <row r="190" spans="1:7" x14ac:dyDescent="0.25">
      <c r="A190" t="s">
        <v>451</v>
      </c>
      <c r="B190" t="s">
        <v>452</v>
      </c>
      <c r="C190" t="s">
        <v>8</v>
      </c>
      <c r="D190">
        <v>10</v>
      </c>
      <c r="E190" t="s">
        <v>184</v>
      </c>
      <c r="F190" t="s">
        <v>16</v>
      </c>
      <c r="G190" t="e">
        <f>VLOOKUP(A190,fullrosterCWLrole!$A$1:$B$300,2,FALSE)</f>
        <v>#N/A</v>
      </c>
    </row>
    <row r="191" spans="1:7" x14ac:dyDescent="0.25">
      <c r="A191" t="s">
        <v>453</v>
      </c>
      <c r="B191" t="s">
        <v>156</v>
      </c>
      <c r="C191" t="s">
        <v>125</v>
      </c>
      <c r="D191">
        <v>11</v>
      </c>
      <c r="E191" t="s">
        <v>184</v>
      </c>
      <c r="F191" t="s">
        <v>16</v>
      </c>
      <c r="G191" t="str">
        <f>VLOOKUP(A191,fullrosterCWLrole!$A$1:$B$300,2,FALSE)</f>
        <v>Backup</v>
      </c>
    </row>
    <row r="192" spans="1:7" x14ac:dyDescent="0.25">
      <c r="A192" t="s">
        <v>454</v>
      </c>
      <c r="B192" t="s">
        <v>455</v>
      </c>
      <c r="C192" t="s">
        <v>8</v>
      </c>
      <c r="D192">
        <v>10</v>
      </c>
      <c r="E192" t="s">
        <v>184</v>
      </c>
      <c r="F192" t="s">
        <v>16</v>
      </c>
      <c r="G192" t="str">
        <f>VLOOKUP(A192,fullrosterCWLrole!$A$1:$B$300,2,FALSE)</f>
        <v>Attacker</v>
      </c>
    </row>
    <row r="193" spans="1:7" x14ac:dyDescent="0.25">
      <c r="A193" t="s">
        <v>456</v>
      </c>
      <c r="B193" t="s">
        <v>457</v>
      </c>
      <c r="C193" t="s">
        <v>8</v>
      </c>
      <c r="D193">
        <v>10</v>
      </c>
      <c r="E193" t="s">
        <v>184</v>
      </c>
      <c r="F193" t="s">
        <v>16</v>
      </c>
      <c r="G193" t="str">
        <f>VLOOKUP(A193,fullrosterCWLrole!$A$1:$B$300,2,FALSE)</f>
        <v>Attacker</v>
      </c>
    </row>
    <row r="194" spans="1:7" x14ac:dyDescent="0.25">
      <c r="A194" t="s">
        <v>458</v>
      </c>
      <c r="B194" t="s">
        <v>459</v>
      </c>
      <c r="C194" t="s">
        <v>8</v>
      </c>
      <c r="D194">
        <v>10</v>
      </c>
      <c r="E194" t="s">
        <v>397</v>
      </c>
      <c r="F194" t="s">
        <v>16</v>
      </c>
      <c r="G194" t="str">
        <f>VLOOKUP(A194,fullrosterCWLrole!$A$1:$B$300,2,FALSE)</f>
        <v>Attacker</v>
      </c>
    </row>
    <row r="195" spans="1:7" x14ac:dyDescent="0.25">
      <c r="A195" t="s">
        <v>460</v>
      </c>
      <c r="B195" t="s">
        <v>461</v>
      </c>
      <c r="C195" t="s">
        <v>8</v>
      </c>
      <c r="D195">
        <v>11</v>
      </c>
      <c r="E195" t="s">
        <v>397</v>
      </c>
      <c r="F195" t="s">
        <v>16</v>
      </c>
      <c r="G195" t="str">
        <f>VLOOKUP(A195,fullrosterCWLrole!$A$1:$B$300,2,FALSE)</f>
        <v>Attacker</v>
      </c>
    </row>
    <row r="196" spans="1:7" x14ac:dyDescent="0.25">
      <c r="A196" t="s">
        <v>462</v>
      </c>
      <c r="B196" t="s">
        <v>463</v>
      </c>
      <c r="C196" t="s">
        <v>8</v>
      </c>
      <c r="D196">
        <v>10</v>
      </c>
      <c r="E196" t="s">
        <v>397</v>
      </c>
      <c r="F196" t="s">
        <v>16</v>
      </c>
      <c r="G196" t="str">
        <f>VLOOKUP(A196,fullrosterCWLrole!$A$1:$B$300,2,FALSE)</f>
        <v>Attacker</v>
      </c>
    </row>
    <row r="197" spans="1:7" x14ac:dyDescent="0.25">
      <c r="A197" t="s">
        <v>464</v>
      </c>
      <c r="B197" t="s">
        <v>465</v>
      </c>
      <c r="C197" t="s">
        <v>8</v>
      </c>
      <c r="D197">
        <v>11</v>
      </c>
      <c r="E197" t="s">
        <v>32</v>
      </c>
      <c r="F197" t="s">
        <v>16</v>
      </c>
      <c r="G197" t="str">
        <f>VLOOKUP(A197,fullrosterCWLrole!$A$1:$B$300,2,FALSE)</f>
        <v>Backup</v>
      </c>
    </row>
    <row r="198" spans="1:7" x14ac:dyDescent="0.25">
      <c r="A198" t="s">
        <v>466</v>
      </c>
      <c r="B198" t="s">
        <v>467</v>
      </c>
      <c r="C198" t="s">
        <v>8</v>
      </c>
      <c r="D198">
        <v>11</v>
      </c>
      <c r="E198" t="s">
        <v>32</v>
      </c>
      <c r="F198" t="s">
        <v>16</v>
      </c>
      <c r="G198" t="str">
        <f>VLOOKUP(A198,fullrosterCWLrole!$A$1:$B$300,2,FALSE)</f>
        <v>Attacker</v>
      </c>
    </row>
    <row r="199" spans="1:7" x14ac:dyDescent="0.25">
      <c r="A199" t="s">
        <v>468</v>
      </c>
      <c r="B199" t="s">
        <v>469</v>
      </c>
      <c r="C199" t="s">
        <v>27</v>
      </c>
      <c r="D199">
        <v>10</v>
      </c>
      <c r="E199" t="s">
        <v>32</v>
      </c>
      <c r="F199" t="s">
        <v>16</v>
      </c>
      <c r="G199" t="str">
        <f>VLOOKUP(A199,fullrosterCWLrole!$A$1:$B$300,2,FALSE)</f>
        <v>Attacker</v>
      </c>
    </row>
    <row r="200" spans="1:7" x14ac:dyDescent="0.25">
      <c r="A200" t="s">
        <v>470</v>
      </c>
      <c r="B200" t="s">
        <v>471</v>
      </c>
      <c r="C200" t="s">
        <v>8</v>
      </c>
      <c r="D200">
        <v>9</v>
      </c>
      <c r="E200" t="s">
        <v>32</v>
      </c>
      <c r="F200" t="s">
        <v>16</v>
      </c>
      <c r="G200" t="e">
        <f>VLOOKUP(A200,fullrosterCWLrole!$A$1:$B$300,2,FALSE)</f>
        <v>#N/A</v>
      </c>
    </row>
    <row r="201" spans="1:7" x14ac:dyDescent="0.25">
      <c r="A201" t="s">
        <v>472</v>
      </c>
      <c r="B201" t="s">
        <v>473</v>
      </c>
      <c r="C201" t="s">
        <v>8</v>
      </c>
      <c r="D201">
        <v>10</v>
      </c>
      <c r="E201" t="s">
        <v>36</v>
      </c>
      <c r="F201" t="s">
        <v>16</v>
      </c>
      <c r="G201" t="e">
        <f>VLOOKUP(A201,fullrosterCWLrole!$A$1:$B$300,2,FALSE)</f>
        <v>#N/A</v>
      </c>
    </row>
    <row r="202" spans="1:7" x14ac:dyDescent="0.25">
      <c r="A202" t="s">
        <v>474</v>
      </c>
      <c r="B202" t="s">
        <v>475</v>
      </c>
      <c r="C202" t="s">
        <v>27</v>
      </c>
      <c r="D202">
        <v>10</v>
      </c>
      <c r="E202" t="s">
        <v>36</v>
      </c>
      <c r="F202" t="s">
        <v>16</v>
      </c>
      <c r="G202" t="str">
        <f>VLOOKUP(A202,fullrosterCWLrole!$A$1:$B$300,2,FALSE)</f>
        <v>Attacker</v>
      </c>
    </row>
    <row r="203" spans="1:7" x14ac:dyDescent="0.25">
      <c r="A203" t="s">
        <v>476</v>
      </c>
      <c r="B203" t="s">
        <v>477</v>
      </c>
      <c r="C203" t="s">
        <v>8</v>
      </c>
      <c r="D203">
        <v>9</v>
      </c>
      <c r="E203" t="s">
        <v>36</v>
      </c>
      <c r="F203" t="s">
        <v>16</v>
      </c>
      <c r="G203" t="e">
        <f>VLOOKUP(A203,fullrosterCWLrole!$A$1:$B$300,2,FALSE)</f>
        <v>#N/A</v>
      </c>
    </row>
    <row r="204" spans="1:7" x14ac:dyDescent="0.25">
      <c r="A204" t="s">
        <v>478</v>
      </c>
      <c r="B204" t="s">
        <v>479</v>
      </c>
      <c r="C204" t="s">
        <v>8</v>
      </c>
      <c r="D204">
        <v>9</v>
      </c>
      <c r="E204" t="s">
        <v>36</v>
      </c>
      <c r="F204" t="s">
        <v>16</v>
      </c>
      <c r="G204" t="e">
        <f>VLOOKUP(A204,fullrosterCWLrole!$A$1:$B$300,2,FALSE)</f>
        <v>#N/A</v>
      </c>
    </row>
    <row r="205" spans="1:7" x14ac:dyDescent="0.25">
      <c r="A205" t="s">
        <v>480</v>
      </c>
      <c r="B205" t="s">
        <v>481</v>
      </c>
      <c r="C205" t="s">
        <v>22</v>
      </c>
      <c r="D205">
        <v>10</v>
      </c>
      <c r="E205" t="s">
        <v>36</v>
      </c>
      <c r="F205" t="s">
        <v>16</v>
      </c>
      <c r="G205" t="str">
        <f>VLOOKUP(A205,fullrosterCWLrole!$A$1:$B$300,2,FALSE)</f>
        <v>Attacker</v>
      </c>
    </row>
    <row r="206" spans="1:7" x14ac:dyDescent="0.25">
      <c r="A206" t="s">
        <v>482</v>
      </c>
      <c r="B206" t="s">
        <v>483</v>
      </c>
      <c r="C206" t="s">
        <v>8</v>
      </c>
      <c r="D206">
        <v>10</v>
      </c>
      <c r="E206" t="s">
        <v>36</v>
      </c>
      <c r="F206" t="s">
        <v>16</v>
      </c>
      <c r="G206" t="e">
        <f>VLOOKUP(A206,fullrosterCWLrole!$A$1:$B$300,2,FALSE)</f>
        <v>#N/A</v>
      </c>
    </row>
    <row r="207" spans="1:7" x14ac:dyDescent="0.25">
      <c r="A207" t="s">
        <v>484</v>
      </c>
      <c r="B207" t="s">
        <v>485</v>
      </c>
      <c r="C207" t="s">
        <v>8</v>
      </c>
      <c r="D207">
        <v>9</v>
      </c>
      <c r="E207" t="s">
        <v>36</v>
      </c>
      <c r="F207" t="s">
        <v>16</v>
      </c>
      <c r="G207" t="e">
        <f>VLOOKUP(A207,fullrosterCWLrole!$A$1:$B$300,2,FALSE)</f>
        <v>#N/A</v>
      </c>
    </row>
    <row r="208" spans="1:7" x14ac:dyDescent="0.25">
      <c r="A208" t="s">
        <v>486</v>
      </c>
      <c r="B208" t="s">
        <v>487</v>
      </c>
      <c r="C208" t="s">
        <v>8</v>
      </c>
      <c r="D208">
        <v>9</v>
      </c>
      <c r="E208" t="s">
        <v>36</v>
      </c>
      <c r="F208" t="s">
        <v>16</v>
      </c>
      <c r="G208" t="e">
        <f>VLOOKUP(A208,fullrosterCWLrole!$A$1:$B$300,2,FALSE)</f>
        <v>#N/A</v>
      </c>
    </row>
    <row r="209" spans="1:7" x14ac:dyDescent="0.25">
      <c r="A209" t="s">
        <v>488</v>
      </c>
      <c r="B209" t="s">
        <v>489</v>
      </c>
      <c r="C209" t="s">
        <v>8</v>
      </c>
      <c r="D209">
        <v>8</v>
      </c>
      <c r="E209" t="s">
        <v>36</v>
      </c>
      <c r="F209" t="s">
        <v>16</v>
      </c>
      <c r="G209" t="e">
        <f>VLOOKUP(A209,fullrosterCWLrole!$A$1:$B$300,2,FALSE)</f>
        <v>#N/A</v>
      </c>
    </row>
    <row r="210" spans="1:7" x14ac:dyDescent="0.25">
      <c r="A210" t="s">
        <v>490</v>
      </c>
      <c r="B210" t="s">
        <v>491</v>
      </c>
      <c r="C210" t="s">
        <v>8</v>
      </c>
      <c r="D210">
        <v>9</v>
      </c>
      <c r="E210" t="s">
        <v>36</v>
      </c>
      <c r="F210" t="s">
        <v>16</v>
      </c>
      <c r="G210" t="str">
        <f>VLOOKUP(A210,fullrosterCWLrole!$A$1:$B$300,2,FALSE)</f>
        <v>Attacker</v>
      </c>
    </row>
    <row r="211" spans="1:7" x14ac:dyDescent="0.25">
      <c r="A211" t="s">
        <v>492</v>
      </c>
      <c r="B211" t="s">
        <v>493</v>
      </c>
      <c r="C211" t="s">
        <v>8</v>
      </c>
      <c r="D211">
        <v>7</v>
      </c>
      <c r="E211" t="s">
        <v>55</v>
      </c>
      <c r="F211" t="s">
        <v>16</v>
      </c>
      <c r="G211" t="e">
        <f>VLOOKUP(A211,fullrosterCWLrole!$A$1:$B$300,2,FALSE)</f>
        <v>#N/A</v>
      </c>
    </row>
    <row r="212" spans="1:7" x14ac:dyDescent="0.25">
      <c r="A212" t="s">
        <v>494</v>
      </c>
      <c r="B212" t="s">
        <v>495</v>
      </c>
      <c r="C212" t="s">
        <v>8</v>
      </c>
      <c r="D212">
        <v>10</v>
      </c>
      <c r="E212" t="s">
        <v>55</v>
      </c>
      <c r="F212" t="s">
        <v>16</v>
      </c>
      <c r="G212" t="str">
        <f>VLOOKUP(A212,fullrosterCWLrole!$A$1:$B$300,2,FALSE)</f>
        <v>Backup Final</v>
      </c>
    </row>
    <row r="213" spans="1:7" x14ac:dyDescent="0.25">
      <c r="A213" t="s">
        <v>496</v>
      </c>
      <c r="B213" t="s">
        <v>497</v>
      </c>
      <c r="C213" t="s">
        <v>8</v>
      </c>
      <c r="D213">
        <v>9</v>
      </c>
      <c r="E213" t="s">
        <v>55</v>
      </c>
      <c r="F213" t="s">
        <v>16</v>
      </c>
      <c r="G213" t="str">
        <f>VLOOKUP(A213,fullrosterCWLrole!$A$1:$B$300,2,FALSE)</f>
        <v>Attacker</v>
      </c>
    </row>
    <row r="214" spans="1:7" x14ac:dyDescent="0.25">
      <c r="A214" t="s">
        <v>498</v>
      </c>
      <c r="B214" t="s">
        <v>499</v>
      </c>
      <c r="C214" t="s">
        <v>8</v>
      </c>
      <c r="D214">
        <v>9</v>
      </c>
      <c r="E214" t="s">
        <v>55</v>
      </c>
      <c r="F214" t="s">
        <v>16</v>
      </c>
      <c r="G214" t="e">
        <f>VLOOKUP(A214,fullrosterCWLrole!$A$1:$B$300,2,FALSE)</f>
        <v>#N/A</v>
      </c>
    </row>
    <row r="215" spans="1:7" x14ac:dyDescent="0.25">
      <c r="A215" t="s">
        <v>500</v>
      </c>
      <c r="B215" t="s">
        <v>501</v>
      </c>
      <c r="C215" t="s">
        <v>8</v>
      </c>
      <c r="D215">
        <v>9</v>
      </c>
      <c r="E215" t="s">
        <v>55</v>
      </c>
      <c r="F215" t="s">
        <v>16</v>
      </c>
      <c r="G215" t="str">
        <f>VLOOKUP(A215,fullrosterCWLrole!$A$1:$B$300,2,FALSE)</f>
        <v>Attacker</v>
      </c>
    </row>
    <row r="216" spans="1:7" x14ac:dyDescent="0.25">
      <c r="A216" t="s">
        <v>502</v>
      </c>
      <c r="B216" t="s">
        <v>503</v>
      </c>
      <c r="C216" t="s">
        <v>8</v>
      </c>
      <c r="D216">
        <v>9</v>
      </c>
      <c r="E216" t="s">
        <v>55</v>
      </c>
      <c r="F216" t="s">
        <v>16</v>
      </c>
      <c r="G216" t="str">
        <f>VLOOKUP(A216,fullrosterCWLrole!$A$1:$B$300,2,FALSE)</f>
        <v>Attacker</v>
      </c>
    </row>
    <row r="217" spans="1:7" x14ac:dyDescent="0.25">
      <c r="A217" t="s">
        <v>504</v>
      </c>
      <c r="B217" t="s">
        <v>505</v>
      </c>
      <c r="C217" t="s">
        <v>8</v>
      </c>
      <c r="D217">
        <v>9</v>
      </c>
      <c r="E217" t="s">
        <v>71</v>
      </c>
      <c r="F217" t="s">
        <v>16</v>
      </c>
      <c r="G217" t="str">
        <f>VLOOKUP(A217,fullrosterCWLrole!$A$1:$B$300,2,FALSE)</f>
        <v>Attacker</v>
      </c>
    </row>
    <row r="218" spans="1:7" x14ac:dyDescent="0.25">
      <c r="A218" t="s">
        <v>506</v>
      </c>
      <c r="B218" t="s">
        <v>507</v>
      </c>
      <c r="C218" t="s">
        <v>8</v>
      </c>
      <c r="D218">
        <v>9</v>
      </c>
      <c r="E218" t="s">
        <v>71</v>
      </c>
      <c r="F218" t="s">
        <v>16</v>
      </c>
      <c r="G218" t="str">
        <f>VLOOKUP(A218,fullrosterCWLrole!$A$1:$B$300,2,FALSE)</f>
        <v>Backup Final</v>
      </c>
    </row>
    <row r="219" spans="1:7" x14ac:dyDescent="0.25">
      <c r="A219" t="s">
        <v>508</v>
      </c>
      <c r="B219" t="s">
        <v>384</v>
      </c>
      <c r="C219" t="s">
        <v>27</v>
      </c>
      <c r="D219">
        <v>9</v>
      </c>
      <c r="E219" t="s">
        <v>71</v>
      </c>
      <c r="F219" t="s">
        <v>16</v>
      </c>
      <c r="G219" t="str">
        <f>VLOOKUP(A219,fullrosterCWLrole!$A$1:$B$300,2,FALSE)</f>
        <v>Attacker</v>
      </c>
    </row>
    <row r="220" spans="1:7" x14ac:dyDescent="0.25">
      <c r="A220" t="s">
        <v>509</v>
      </c>
      <c r="B220" t="s">
        <v>510</v>
      </c>
      <c r="C220" t="s">
        <v>8</v>
      </c>
      <c r="D220">
        <v>7</v>
      </c>
      <c r="E220" t="s">
        <v>86</v>
      </c>
      <c r="F220" t="s">
        <v>16</v>
      </c>
      <c r="G220" t="e">
        <f>VLOOKUP(A220,fullrosterCWLrole!$A$1:$B$300,2,FALSE)</f>
        <v>#N/A</v>
      </c>
    </row>
    <row r="221" spans="1:7" x14ac:dyDescent="0.25">
      <c r="A221" t="s">
        <v>511</v>
      </c>
      <c r="B221" t="s">
        <v>512</v>
      </c>
      <c r="C221" t="s">
        <v>8</v>
      </c>
      <c r="D221">
        <v>8</v>
      </c>
      <c r="E221" t="s">
        <v>86</v>
      </c>
      <c r="F221" t="s">
        <v>16</v>
      </c>
      <c r="G221" t="e">
        <f>VLOOKUP(A221,fullrosterCWLrole!$A$1:$B$300,2,FALSE)</f>
        <v>#N/A</v>
      </c>
    </row>
    <row r="222" spans="1:7" x14ac:dyDescent="0.25">
      <c r="A222" t="s">
        <v>513</v>
      </c>
      <c r="B222" t="s">
        <v>514</v>
      </c>
      <c r="C222" t="s">
        <v>22</v>
      </c>
      <c r="D222">
        <v>9</v>
      </c>
      <c r="E222" t="s">
        <v>86</v>
      </c>
      <c r="F222" t="s">
        <v>16</v>
      </c>
      <c r="G222" t="str">
        <f>VLOOKUP(A222,fullrosterCWLrole!$A$1:$B$300,2,FALSE)</f>
        <v>Backup Final</v>
      </c>
    </row>
    <row r="223" spans="1:7" x14ac:dyDescent="0.25">
      <c r="A223" t="s">
        <v>515</v>
      </c>
      <c r="B223" t="s">
        <v>516</v>
      </c>
      <c r="C223" t="s">
        <v>8</v>
      </c>
      <c r="D223">
        <v>9</v>
      </c>
      <c r="E223" t="s">
        <v>86</v>
      </c>
      <c r="F223" t="s">
        <v>16</v>
      </c>
      <c r="G223" t="e">
        <f>VLOOKUP(A223,fullrosterCWLrole!$A$1:$B$300,2,FALSE)</f>
        <v>#N/A</v>
      </c>
    </row>
    <row r="224" spans="1:7" x14ac:dyDescent="0.25">
      <c r="A224" t="s">
        <v>517</v>
      </c>
      <c r="B224" t="s">
        <v>518</v>
      </c>
      <c r="C224" t="s">
        <v>22</v>
      </c>
      <c r="D224">
        <v>9</v>
      </c>
      <c r="E224" t="s">
        <v>86</v>
      </c>
      <c r="F224" t="s">
        <v>16</v>
      </c>
      <c r="G224" t="str">
        <f>VLOOKUP(A224,fullrosterCWLrole!$A$1:$B$300,2,FALSE)</f>
        <v>Attacker</v>
      </c>
    </row>
    <row r="225" spans="1:7" x14ac:dyDescent="0.25">
      <c r="A225" t="s">
        <v>519</v>
      </c>
      <c r="B225" t="s">
        <v>520</v>
      </c>
      <c r="C225" t="s">
        <v>27</v>
      </c>
      <c r="D225">
        <v>11</v>
      </c>
      <c r="E225" t="s">
        <v>103</v>
      </c>
      <c r="F225" t="s">
        <v>16</v>
      </c>
      <c r="G225" t="str">
        <f>VLOOKUP(A225,fullrosterCWLrole!$A$1:$B$300,2,FALSE)</f>
        <v>Attacker</v>
      </c>
    </row>
    <row r="226" spans="1:7" x14ac:dyDescent="0.25">
      <c r="A226" t="s">
        <v>521</v>
      </c>
      <c r="B226" t="s">
        <v>522</v>
      </c>
      <c r="C226" t="s">
        <v>8</v>
      </c>
      <c r="D226">
        <v>8</v>
      </c>
      <c r="E226" t="s">
        <v>103</v>
      </c>
      <c r="F226" t="s">
        <v>16</v>
      </c>
      <c r="G226" t="str">
        <f>VLOOKUP(A226,fullrosterCWLrole!$A$1:$B$300,2,FALSE)</f>
        <v>Attacker</v>
      </c>
    </row>
    <row r="227" spans="1:7" x14ac:dyDescent="0.25">
      <c r="A227" t="s">
        <v>523</v>
      </c>
      <c r="B227" t="s">
        <v>524</v>
      </c>
      <c r="C227" t="s">
        <v>8</v>
      </c>
      <c r="D227">
        <v>8</v>
      </c>
      <c r="E227" t="s">
        <v>103</v>
      </c>
      <c r="F227" t="s">
        <v>16</v>
      </c>
      <c r="G227" t="e">
        <f>VLOOKUP(A227,fullrosterCWLrole!$A$1:$B$300,2,FALSE)</f>
        <v>#N/A</v>
      </c>
    </row>
    <row r="228" spans="1:7" x14ac:dyDescent="0.25">
      <c r="A228" t="s">
        <v>525</v>
      </c>
      <c r="B228" t="s">
        <v>526</v>
      </c>
      <c r="C228" t="s">
        <v>8</v>
      </c>
      <c r="D228">
        <v>9</v>
      </c>
      <c r="E228" t="s">
        <v>103</v>
      </c>
      <c r="F228" t="s">
        <v>16</v>
      </c>
      <c r="G228" t="e">
        <f>VLOOKUP(A228,fullrosterCWLrole!$A$1:$B$300,2,FALSE)</f>
        <v>#N/A</v>
      </c>
    </row>
    <row r="229" spans="1:7" x14ac:dyDescent="0.25">
      <c r="A229" t="s">
        <v>527</v>
      </c>
      <c r="B229" t="s">
        <v>528</v>
      </c>
      <c r="C229" t="s">
        <v>125</v>
      </c>
      <c r="D229">
        <v>8</v>
      </c>
      <c r="E229" t="s">
        <v>83</v>
      </c>
      <c r="F229" t="s">
        <v>529</v>
      </c>
      <c r="G229" t="str">
        <f>VLOOKUP(A229,fullrosterCWLrole!$A$1:$B$300,2,FALSE)</f>
        <v>Backup Final</v>
      </c>
    </row>
    <row r="230" spans="1:7" x14ac:dyDescent="0.25">
      <c r="A230" t="s">
        <v>530</v>
      </c>
      <c r="B230" t="s">
        <v>531</v>
      </c>
      <c r="C230" t="s">
        <v>27</v>
      </c>
      <c r="D230">
        <v>11</v>
      </c>
      <c r="E230" t="s">
        <v>354</v>
      </c>
      <c r="F230" t="s">
        <v>532</v>
      </c>
      <c r="G230" t="e">
        <f>VLOOKUP(A230,fullrosterCWLrole!$A$1:$B$300,2,FALSE)</f>
        <v>#N/A</v>
      </c>
    </row>
    <row r="231" spans="1:7" x14ac:dyDescent="0.25">
      <c r="A231" t="s">
        <v>533</v>
      </c>
      <c r="B231" t="s">
        <v>534</v>
      </c>
      <c r="C231" t="s">
        <v>8</v>
      </c>
      <c r="D231">
        <v>12</v>
      </c>
      <c r="E231" t="s">
        <v>19</v>
      </c>
      <c r="F231" t="s">
        <v>532</v>
      </c>
      <c r="G231" t="e">
        <f>VLOOKUP(A231,fullrosterCWLrole!$A$1:$B$300,2,FALSE)</f>
        <v>#N/A</v>
      </c>
    </row>
    <row r="232" spans="1:7" x14ac:dyDescent="0.25">
      <c r="A232" t="s">
        <v>535</v>
      </c>
      <c r="B232" t="s">
        <v>536</v>
      </c>
      <c r="C232" t="s">
        <v>22</v>
      </c>
      <c r="D232">
        <v>11</v>
      </c>
      <c r="E232" t="s">
        <v>23</v>
      </c>
      <c r="F232" t="s">
        <v>532</v>
      </c>
      <c r="G232" t="e">
        <f>VLOOKUP(A232,fullrosterCWLrole!$A$1:$B$300,2,FALSE)</f>
        <v>#N/A</v>
      </c>
    </row>
    <row r="233" spans="1:7" x14ac:dyDescent="0.25">
      <c r="A233" t="s">
        <v>537</v>
      </c>
      <c r="B233" t="s">
        <v>538</v>
      </c>
      <c r="C233" t="s">
        <v>8</v>
      </c>
      <c r="D233">
        <v>12</v>
      </c>
      <c r="E233" t="s">
        <v>148</v>
      </c>
      <c r="F233" t="s">
        <v>532</v>
      </c>
      <c r="G233" t="e">
        <f>VLOOKUP(A233,fullrosterCWLrole!$A$1:$B$300,2,FALSE)</f>
        <v>#N/A</v>
      </c>
    </row>
    <row r="234" spans="1:7" x14ac:dyDescent="0.25">
      <c r="A234" t="s">
        <v>539</v>
      </c>
      <c r="B234" t="s">
        <v>540</v>
      </c>
      <c r="C234" t="s">
        <v>27</v>
      </c>
      <c r="D234">
        <v>12</v>
      </c>
      <c r="E234" t="s">
        <v>148</v>
      </c>
      <c r="F234" t="s">
        <v>532</v>
      </c>
      <c r="G234" t="e">
        <f>VLOOKUP(A234,fullrosterCWLrole!$A$1:$B$300,2,FALSE)</f>
        <v>#N/A</v>
      </c>
    </row>
    <row r="235" spans="1:7" x14ac:dyDescent="0.25">
      <c r="A235" t="s">
        <v>541</v>
      </c>
      <c r="B235" t="s">
        <v>542</v>
      </c>
      <c r="C235" t="s">
        <v>22</v>
      </c>
      <c r="D235">
        <v>11</v>
      </c>
      <c r="E235" t="s">
        <v>184</v>
      </c>
      <c r="F235" t="s">
        <v>532</v>
      </c>
      <c r="G235" t="e">
        <f>VLOOKUP(A235,fullrosterCWLrole!$A$1:$B$300,2,FALSE)</f>
        <v>#N/A</v>
      </c>
    </row>
    <row r="236" spans="1:7" x14ac:dyDescent="0.25">
      <c r="A236" t="s">
        <v>543</v>
      </c>
      <c r="B236" t="s">
        <v>544</v>
      </c>
      <c r="C236" t="s">
        <v>8</v>
      </c>
      <c r="D236">
        <v>13</v>
      </c>
      <c r="E236" t="s">
        <v>397</v>
      </c>
      <c r="F236" t="s">
        <v>532</v>
      </c>
      <c r="G236" t="e">
        <f>VLOOKUP(A236,fullrosterCWLrole!$A$1:$B$300,2,FALSE)</f>
        <v>#N/A</v>
      </c>
    </row>
    <row r="237" spans="1:7" x14ac:dyDescent="0.25">
      <c r="A237" t="s">
        <v>545</v>
      </c>
      <c r="B237" t="s">
        <v>546</v>
      </c>
      <c r="C237" t="s">
        <v>125</v>
      </c>
      <c r="D237">
        <v>10</v>
      </c>
      <c r="E237" t="s">
        <v>397</v>
      </c>
      <c r="F237" t="s">
        <v>532</v>
      </c>
      <c r="G237" t="e">
        <f>VLOOKUP(A237,fullrosterCWLrole!$A$1:$B$300,2,FALSE)</f>
        <v>#N/A</v>
      </c>
    </row>
    <row r="238" spans="1:7" x14ac:dyDescent="0.25">
      <c r="A238" t="s">
        <v>547</v>
      </c>
      <c r="B238" t="s">
        <v>548</v>
      </c>
      <c r="C238" t="s">
        <v>8</v>
      </c>
      <c r="D238">
        <v>10</v>
      </c>
      <c r="E238" t="s">
        <v>397</v>
      </c>
      <c r="F238" t="s">
        <v>532</v>
      </c>
      <c r="G238" t="e">
        <f>VLOOKUP(A238,fullrosterCWLrole!$A$1:$B$300,2,FALSE)</f>
        <v>#N/A</v>
      </c>
    </row>
    <row r="239" spans="1:7" x14ac:dyDescent="0.25">
      <c r="A239" t="s">
        <v>549</v>
      </c>
      <c r="B239" t="s">
        <v>550</v>
      </c>
      <c r="C239" t="s">
        <v>8</v>
      </c>
      <c r="D239">
        <v>10</v>
      </c>
      <c r="E239" t="s">
        <v>397</v>
      </c>
      <c r="F239" t="s">
        <v>532</v>
      </c>
      <c r="G239" t="e">
        <f>VLOOKUP(A239,fullrosterCWLrole!$A$1:$B$300,2,FALSE)</f>
        <v>#N/A</v>
      </c>
    </row>
    <row r="240" spans="1:7" x14ac:dyDescent="0.25">
      <c r="A240" t="s">
        <v>551</v>
      </c>
      <c r="B240" t="s">
        <v>552</v>
      </c>
      <c r="C240" t="s">
        <v>27</v>
      </c>
      <c r="D240">
        <v>9</v>
      </c>
      <c r="E240" t="s">
        <v>36</v>
      </c>
      <c r="F240" t="s">
        <v>532</v>
      </c>
      <c r="G240" t="e">
        <f>VLOOKUP(A240,fullrosterCWLrole!$A$1:$B$300,2,FALSE)</f>
        <v>#N/A</v>
      </c>
    </row>
    <row r="241" spans="1:7" x14ac:dyDescent="0.25">
      <c r="A241" t="s">
        <v>553</v>
      </c>
      <c r="B241" t="s">
        <v>554</v>
      </c>
      <c r="C241" t="s">
        <v>8</v>
      </c>
      <c r="D241">
        <v>10</v>
      </c>
      <c r="E241" t="s">
        <v>36</v>
      </c>
      <c r="F241" t="s">
        <v>532</v>
      </c>
      <c r="G241" t="e">
        <f>VLOOKUP(A241,fullrosterCWLrole!$A$1:$B$300,2,FALSE)</f>
        <v>#N/A</v>
      </c>
    </row>
    <row r="242" spans="1:7" x14ac:dyDescent="0.25">
      <c r="A242" t="s">
        <v>555</v>
      </c>
      <c r="B242" t="s">
        <v>556</v>
      </c>
      <c r="C242" t="s">
        <v>27</v>
      </c>
      <c r="D242">
        <v>9</v>
      </c>
      <c r="E242" t="s">
        <v>36</v>
      </c>
      <c r="F242" t="s">
        <v>532</v>
      </c>
      <c r="G242" t="e">
        <f>VLOOKUP(A242,fullrosterCWLrole!$A$1:$B$300,2,FALSE)</f>
        <v>#N/A</v>
      </c>
    </row>
    <row r="243" spans="1:7" x14ac:dyDescent="0.25">
      <c r="A243" t="s">
        <v>557</v>
      </c>
      <c r="B243" t="s">
        <v>558</v>
      </c>
      <c r="C243" t="s">
        <v>8</v>
      </c>
      <c r="D243">
        <v>9</v>
      </c>
      <c r="E243" t="s">
        <v>36</v>
      </c>
      <c r="F243" t="s">
        <v>532</v>
      </c>
      <c r="G243" t="e">
        <f>VLOOKUP(A243,fullrosterCWLrole!$A$1:$B$300,2,FALSE)</f>
        <v>#N/A</v>
      </c>
    </row>
    <row r="244" spans="1:7" x14ac:dyDescent="0.25">
      <c r="A244" t="s">
        <v>559</v>
      </c>
      <c r="B244" t="s">
        <v>560</v>
      </c>
      <c r="C244" t="s">
        <v>22</v>
      </c>
      <c r="D244">
        <v>11</v>
      </c>
      <c r="E244" t="s">
        <v>36</v>
      </c>
      <c r="F244" t="s">
        <v>532</v>
      </c>
      <c r="G244" t="e">
        <f>VLOOKUP(A244,fullrosterCWLrole!$A$1:$B$300,2,FALSE)</f>
        <v>#N/A</v>
      </c>
    </row>
    <row r="245" spans="1:7" x14ac:dyDescent="0.25">
      <c r="A245" t="s">
        <v>561</v>
      </c>
      <c r="B245" t="s">
        <v>562</v>
      </c>
      <c r="C245" t="s">
        <v>22</v>
      </c>
      <c r="D245">
        <v>9</v>
      </c>
      <c r="E245" t="s">
        <v>55</v>
      </c>
      <c r="F245" t="s">
        <v>532</v>
      </c>
      <c r="G245" t="e">
        <f>VLOOKUP(A245,fullrosterCWLrole!$A$1:$B$300,2,FALSE)</f>
        <v>#N/A</v>
      </c>
    </row>
    <row r="246" spans="1:7" x14ac:dyDescent="0.25">
      <c r="A246" t="s">
        <v>563</v>
      </c>
      <c r="B246" t="s">
        <v>564</v>
      </c>
      <c r="C246" t="s">
        <v>8</v>
      </c>
      <c r="D246">
        <v>9</v>
      </c>
      <c r="E246" t="s">
        <v>71</v>
      </c>
      <c r="F246" t="s">
        <v>532</v>
      </c>
      <c r="G246" t="e">
        <f>VLOOKUP(A246,fullrosterCWLrole!$A$1:$B$300,2,FALSE)</f>
        <v>#N/A</v>
      </c>
    </row>
    <row r="247" spans="1:7" x14ac:dyDescent="0.25">
      <c r="A247" t="s">
        <v>565</v>
      </c>
      <c r="B247" t="s">
        <v>566</v>
      </c>
      <c r="C247" t="s">
        <v>27</v>
      </c>
      <c r="D247">
        <v>12</v>
      </c>
      <c r="E247" t="s">
        <v>83</v>
      </c>
      <c r="F247" t="s">
        <v>532</v>
      </c>
      <c r="G247" t="e">
        <f>VLOOKUP(A247,fullrosterCWLrole!$A$1:$B$300,2,FALSE)</f>
        <v>#N/A</v>
      </c>
    </row>
    <row r="248" spans="1:7" x14ac:dyDescent="0.25">
      <c r="A248" t="s">
        <v>567</v>
      </c>
      <c r="B248" t="s">
        <v>568</v>
      </c>
      <c r="C248" t="s">
        <v>8</v>
      </c>
      <c r="D248">
        <v>9</v>
      </c>
      <c r="E248" t="s">
        <v>71</v>
      </c>
      <c r="F248" t="s">
        <v>532</v>
      </c>
      <c r="G248" t="e">
        <f>VLOOKUP(A248,fullrosterCWLrole!$A$1:$B$300,2,FALSE)</f>
        <v>#N/A</v>
      </c>
    </row>
    <row r="249" spans="1:7" x14ac:dyDescent="0.25">
      <c r="A249" t="s">
        <v>569</v>
      </c>
      <c r="B249" t="s">
        <v>570</v>
      </c>
      <c r="C249" t="s">
        <v>8</v>
      </c>
      <c r="D249">
        <v>9</v>
      </c>
      <c r="E249" t="s">
        <v>71</v>
      </c>
      <c r="F249" t="s">
        <v>532</v>
      </c>
      <c r="G249" t="e">
        <f>VLOOKUP(A249,fullrosterCWLrole!$A$1:$B$300,2,FALSE)</f>
        <v>#N/A</v>
      </c>
    </row>
    <row r="250" spans="1:7" x14ac:dyDescent="0.25">
      <c r="A250" t="s">
        <v>571</v>
      </c>
      <c r="B250" t="s">
        <v>572</v>
      </c>
      <c r="C250" t="s">
        <v>8</v>
      </c>
      <c r="D250">
        <v>9</v>
      </c>
      <c r="E250" t="s">
        <v>71</v>
      </c>
      <c r="F250" t="s">
        <v>532</v>
      </c>
      <c r="G250" t="e">
        <f>VLOOKUP(A250,fullrosterCWLrole!$A$1:$B$300,2,FALSE)</f>
        <v>#N/A</v>
      </c>
    </row>
    <row r="251" spans="1:7" x14ac:dyDescent="0.25">
      <c r="A251" t="s">
        <v>573</v>
      </c>
      <c r="B251" t="s">
        <v>574</v>
      </c>
      <c r="C251" t="s">
        <v>8</v>
      </c>
      <c r="D251">
        <v>9</v>
      </c>
      <c r="E251" t="s">
        <v>71</v>
      </c>
      <c r="F251" t="s">
        <v>532</v>
      </c>
      <c r="G251" t="e">
        <f>VLOOKUP(A251,fullrosterCWLrole!$A$1:$B$300,2,FALSE)</f>
        <v>#N/A</v>
      </c>
    </row>
    <row r="252" spans="1:7" x14ac:dyDescent="0.25">
      <c r="A252" t="s">
        <v>575</v>
      </c>
      <c r="B252" t="s">
        <v>576</v>
      </c>
      <c r="C252" t="s">
        <v>27</v>
      </c>
      <c r="D252">
        <v>9</v>
      </c>
      <c r="E252" t="s">
        <v>71</v>
      </c>
      <c r="F252" t="s">
        <v>532</v>
      </c>
      <c r="G252" t="e">
        <f>VLOOKUP(A252,fullrosterCWLrole!$A$1:$B$300,2,FALSE)</f>
        <v>#N/A</v>
      </c>
    </row>
    <row r="253" spans="1:7" x14ac:dyDescent="0.25">
      <c r="A253" t="s">
        <v>577</v>
      </c>
      <c r="B253" t="s">
        <v>578</v>
      </c>
      <c r="C253" t="s">
        <v>8</v>
      </c>
      <c r="D253">
        <v>8</v>
      </c>
      <c r="E253" t="s">
        <v>71</v>
      </c>
      <c r="F253" t="s">
        <v>532</v>
      </c>
      <c r="G253" t="e">
        <f>VLOOKUP(A253,fullrosterCWLrole!$A$1:$B$300,2,FALSE)</f>
        <v>#N/A</v>
      </c>
    </row>
    <row r="254" spans="1:7" x14ac:dyDescent="0.25">
      <c r="A254" t="s">
        <v>579</v>
      </c>
      <c r="B254" t="s">
        <v>580</v>
      </c>
      <c r="C254" t="s">
        <v>8</v>
      </c>
      <c r="D254">
        <v>8</v>
      </c>
      <c r="E254" t="s">
        <v>71</v>
      </c>
      <c r="F254" t="s">
        <v>532</v>
      </c>
      <c r="G254" t="e">
        <f>VLOOKUP(A254,fullrosterCWLrole!$A$1:$B$300,2,FALSE)</f>
        <v>#N/A</v>
      </c>
    </row>
    <row r="255" spans="1:7" x14ac:dyDescent="0.25">
      <c r="A255" t="s">
        <v>581</v>
      </c>
      <c r="B255" t="s">
        <v>582</v>
      </c>
      <c r="C255" t="s">
        <v>8</v>
      </c>
      <c r="D255">
        <v>9</v>
      </c>
      <c r="E255" t="s">
        <v>86</v>
      </c>
      <c r="F255" t="s">
        <v>532</v>
      </c>
      <c r="G255" t="e">
        <f>VLOOKUP(A255,fullrosterCWLrole!$A$1:$B$300,2,FALSE)</f>
        <v>#N/A</v>
      </c>
    </row>
    <row r="256" spans="1:7" x14ac:dyDescent="0.25">
      <c r="A256" t="s">
        <v>583</v>
      </c>
      <c r="B256" t="s">
        <v>584</v>
      </c>
      <c r="C256" t="s">
        <v>8</v>
      </c>
      <c r="D256">
        <v>8</v>
      </c>
      <c r="E256" t="s">
        <v>86</v>
      </c>
      <c r="F256" t="s">
        <v>532</v>
      </c>
      <c r="G256" t="e">
        <f>VLOOKUP(A256,fullrosterCWLrole!$A$1:$B$300,2,FALSE)</f>
        <v>#N/A</v>
      </c>
    </row>
    <row r="257" spans="1:7" x14ac:dyDescent="0.25">
      <c r="A257" t="s">
        <v>585</v>
      </c>
      <c r="B257" t="s">
        <v>586</v>
      </c>
      <c r="C257" t="s">
        <v>8</v>
      </c>
      <c r="D257">
        <v>9</v>
      </c>
      <c r="E257" t="s">
        <v>86</v>
      </c>
      <c r="F257" t="s">
        <v>532</v>
      </c>
      <c r="G257" t="e">
        <f>VLOOKUP(A257,fullrosterCWLrole!$A$1:$B$300,2,FALSE)</f>
        <v>#N/A</v>
      </c>
    </row>
    <row r="258" spans="1:7" x14ac:dyDescent="0.25">
      <c r="A258" t="s">
        <v>587</v>
      </c>
      <c r="B258" t="s">
        <v>588</v>
      </c>
      <c r="C258" t="s">
        <v>8</v>
      </c>
      <c r="D258">
        <v>12</v>
      </c>
      <c r="E258" t="s">
        <v>86</v>
      </c>
      <c r="F258" t="s">
        <v>532</v>
      </c>
      <c r="G258" t="e">
        <f>VLOOKUP(A258,fullrosterCWLrole!$A$1:$B$300,2,FALSE)</f>
        <v>#N/A</v>
      </c>
    </row>
    <row r="259" spans="1:7" x14ac:dyDescent="0.25">
      <c r="A259" t="s">
        <v>589</v>
      </c>
      <c r="B259" t="s">
        <v>590</v>
      </c>
      <c r="C259" t="s">
        <v>8</v>
      </c>
      <c r="D259">
        <v>9</v>
      </c>
      <c r="E259" t="s">
        <v>86</v>
      </c>
      <c r="F259" t="s">
        <v>532</v>
      </c>
      <c r="G259" t="e">
        <f>VLOOKUP(A259,fullrosterCWLrole!$A$1:$B$300,2,FALSE)</f>
        <v>#N/A</v>
      </c>
    </row>
    <row r="260" spans="1:7" x14ac:dyDescent="0.25">
      <c r="A260" t="s">
        <v>591</v>
      </c>
      <c r="B260" t="s">
        <v>592</v>
      </c>
      <c r="C260" t="s">
        <v>8</v>
      </c>
      <c r="D260">
        <v>9</v>
      </c>
      <c r="E260" t="s">
        <v>83</v>
      </c>
      <c r="F260" t="s">
        <v>532</v>
      </c>
      <c r="G260" t="e">
        <f>VLOOKUP(A260,fullrosterCWLrole!$A$1:$B$300,2,FALSE)</f>
        <v>#N/A</v>
      </c>
    </row>
    <row r="261" spans="1:7" x14ac:dyDescent="0.25">
      <c r="A261" t="s">
        <v>593</v>
      </c>
      <c r="B261" t="s">
        <v>594</v>
      </c>
      <c r="C261" t="s">
        <v>8</v>
      </c>
      <c r="D261">
        <v>8</v>
      </c>
      <c r="E261" t="s">
        <v>103</v>
      </c>
      <c r="F261" t="s">
        <v>532</v>
      </c>
      <c r="G261" t="e">
        <f>VLOOKUP(A261,fullrosterCWLrole!$A$1:$B$300,2,FALSE)</f>
        <v>#N/A</v>
      </c>
    </row>
    <row r="262" spans="1:7" x14ac:dyDescent="0.25">
      <c r="A262" t="s">
        <v>595</v>
      </c>
      <c r="B262" t="s">
        <v>596</v>
      </c>
      <c r="C262" t="s">
        <v>8</v>
      </c>
      <c r="D262">
        <v>10</v>
      </c>
      <c r="E262" t="s">
        <v>116</v>
      </c>
      <c r="F262" t="s">
        <v>532</v>
      </c>
      <c r="G262" t="e">
        <f>VLOOKUP(A262,fullrosterCWLrole!$A$1:$B$300,2,FALSE)</f>
        <v>#N/A</v>
      </c>
    </row>
    <row r="263" spans="1:7" x14ac:dyDescent="0.25">
      <c r="A263" t="s">
        <v>597</v>
      </c>
      <c r="B263" t="s">
        <v>598</v>
      </c>
      <c r="C263" t="s">
        <v>8</v>
      </c>
      <c r="D263">
        <v>7</v>
      </c>
      <c r="E263" t="s">
        <v>116</v>
      </c>
      <c r="F263" t="s">
        <v>532</v>
      </c>
      <c r="G263" t="e">
        <f>VLOOKUP(A263,fullrosterCWLrole!$A$1:$B$300,2,FALSE)</f>
        <v>#N/A</v>
      </c>
    </row>
    <row r="264" spans="1:7" x14ac:dyDescent="0.25">
      <c r="A264" t="s">
        <v>599</v>
      </c>
      <c r="B264" t="s">
        <v>600</v>
      </c>
      <c r="C264" t="s">
        <v>8</v>
      </c>
      <c r="D264">
        <v>6</v>
      </c>
      <c r="E264" t="s">
        <v>116</v>
      </c>
      <c r="F264" t="s">
        <v>532</v>
      </c>
      <c r="G264" t="e">
        <f>VLOOKUP(A264,fullrosterCWLrole!$A$1:$B$300,2,FALSE)</f>
        <v>#N/A</v>
      </c>
    </row>
    <row r="265" spans="1:7" x14ac:dyDescent="0.25">
      <c r="A265" t="s">
        <v>601</v>
      </c>
      <c r="B265" t="s">
        <v>602</v>
      </c>
      <c r="C265" t="s">
        <v>8</v>
      </c>
      <c r="D265">
        <v>8</v>
      </c>
      <c r="E265" t="s">
        <v>103</v>
      </c>
      <c r="F265" t="s">
        <v>532</v>
      </c>
      <c r="G265" t="e">
        <f>VLOOKUP(A265,fullrosterCWLrole!$A$1:$B$300,2,FALSE)</f>
        <v>#N/A</v>
      </c>
    </row>
    <row r="266" spans="1:7" x14ac:dyDescent="0.25">
      <c r="A266" t="s">
        <v>603</v>
      </c>
      <c r="B266" t="s">
        <v>604</v>
      </c>
      <c r="C266" t="s">
        <v>8</v>
      </c>
      <c r="D266">
        <v>7</v>
      </c>
      <c r="E266" t="s">
        <v>116</v>
      </c>
      <c r="F266" t="s">
        <v>532</v>
      </c>
      <c r="G266" t="e">
        <f>VLOOKUP(A266,fullrosterCWLrole!$A$1:$B$300,2,FALSE)</f>
        <v>#N/A</v>
      </c>
    </row>
    <row r="267" spans="1:7" x14ac:dyDescent="0.25">
      <c r="A267" t="s">
        <v>605</v>
      </c>
      <c r="B267" t="s">
        <v>606</v>
      </c>
      <c r="C267" t="s">
        <v>8</v>
      </c>
      <c r="D267">
        <v>8</v>
      </c>
      <c r="E267" t="s">
        <v>116</v>
      </c>
      <c r="F267" t="s">
        <v>532</v>
      </c>
      <c r="G267" t="e">
        <f>VLOOKUP(A267,fullrosterCWLrole!$A$1:$B$300,2,FALSE)</f>
        <v>#N/A</v>
      </c>
    </row>
    <row r="268" spans="1:7" x14ac:dyDescent="0.25">
      <c r="A268" t="s">
        <v>607</v>
      </c>
      <c r="B268" t="s">
        <v>608</v>
      </c>
      <c r="C268" t="s">
        <v>27</v>
      </c>
      <c r="D268">
        <v>7</v>
      </c>
      <c r="E268" t="s">
        <v>116</v>
      </c>
      <c r="F268" t="s">
        <v>532</v>
      </c>
      <c r="G268" t="e">
        <f>VLOOKUP(A268,fullrosterCWLrole!$A$1:$B$300,2,FALSE)</f>
        <v>#N/A</v>
      </c>
    </row>
    <row r="269" spans="1:7" x14ac:dyDescent="0.25">
      <c r="A269" t="s">
        <v>609</v>
      </c>
      <c r="B269" t="s">
        <v>610</v>
      </c>
      <c r="C269" t="s">
        <v>8</v>
      </c>
      <c r="D269">
        <v>9</v>
      </c>
      <c r="E269" t="s">
        <v>134</v>
      </c>
      <c r="F269" t="s">
        <v>532</v>
      </c>
      <c r="G269" t="e">
        <f>VLOOKUP(A269,fullrosterCWLrole!$A$1:$B$300,2,FALSE)</f>
        <v>#N/A</v>
      </c>
    </row>
    <row r="270" spans="1:7" x14ac:dyDescent="0.25">
      <c r="A270" t="s">
        <v>611</v>
      </c>
      <c r="B270" t="s">
        <v>612</v>
      </c>
      <c r="C270" t="s">
        <v>27</v>
      </c>
      <c r="D270">
        <v>6</v>
      </c>
      <c r="E270" t="s">
        <v>134</v>
      </c>
      <c r="F270" t="s">
        <v>532</v>
      </c>
      <c r="G270" t="e">
        <f>VLOOKUP(A270,fullrosterCWLrole!$A$1:$B$300,2,FALSE)</f>
        <v>#N/A</v>
      </c>
    </row>
    <row r="271" spans="1:7" x14ac:dyDescent="0.25">
      <c r="A271" t="s">
        <v>613</v>
      </c>
      <c r="B271" t="s">
        <v>614</v>
      </c>
      <c r="C271" t="s">
        <v>8</v>
      </c>
      <c r="D271">
        <v>9</v>
      </c>
      <c r="E271" t="s">
        <v>134</v>
      </c>
      <c r="F271" t="s">
        <v>532</v>
      </c>
      <c r="G271" t="e">
        <f>VLOOKUP(A271,fullrosterCWLrole!$A$1:$B$300,2,FALSE)</f>
        <v>#N/A</v>
      </c>
    </row>
    <row r="272" spans="1:7" x14ac:dyDescent="0.25">
      <c r="A272" t="s">
        <v>615</v>
      </c>
      <c r="B272" t="s">
        <v>616</v>
      </c>
      <c r="C272" t="s">
        <v>8</v>
      </c>
      <c r="D272">
        <v>8</v>
      </c>
      <c r="E272" t="s">
        <v>134</v>
      </c>
      <c r="F272" t="s">
        <v>532</v>
      </c>
      <c r="G272" t="e">
        <f>VLOOKUP(A272,fullrosterCWLrole!$A$1:$B$300,2,FALSE)</f>
        <v>#N/A</v>
      </c>
    </row>
    <row r="273" spans="1:7" x14ac:dyDescent="0.25">
      <c r="A273" t="s">
        <v>617</v>
      </c>
      <c r="B273" t="s">
        <v>618</v>
      </c>
      <c r="C273" t="s">
        <v>8</v>
      </c>
      <c r="D273">
        <v>7</v>
      </c>
      <c r="E273" t="s">
        <v>134</v>
      </c>
      <c r="F273" t="s">
        <v>532</v>
      </c>
      <c r="G273" t="e">
        <f>VLOOKUP(A273,fullrosterCWLrole!$A$1:$B$300,2,FALSE)</f>
        <v>#N/A</v>
      </c>
    </row>
    <row r="274" spans="1:7" x14ac:dyDescent="0.25">
      <c r="A274" t="s">
        <v>619</v>
      </c>
      <c r="B274" t="s">
        <v>620</v>
      </c>
      <c r="C274" t="s">
        <v>8</v>
      </c>
      <c r="D274">
        <v>4</v>
      </c>
      <c r="E274" t="s">
        <v>235</v>
      </c>
      <c r="F274" t="s">
        <v>532</v>
      </c>
      <c r="G274" t="e">
        <f>VLOOKUP(A274,fullrosterCWLrole!$A$1:$B$300,2,FALSE)</f>
        <v>#N/A</v>
      </c>
    </row>
    <row r="275" spans="1:7" x14ac:dyDescent="0.25">
      <c r="A275" t="s">
        <v>621</v>
      </c>
      <c r="B275" t="s">
        <v>622</v>
      </c>
      <c r="C275" t="s">
        <v>8</v>
      </c>
      <c r="D275">
        <v>4</v>
      </c>
      <c r="E275" t="s">
        <v>246</v>
      </c>
      <c r="F275" t="s">
        <v>532</v>
      </c>
      <c r="G275" t="e">
        <f>VLOOKUP(A275,fullrosterCWLrole!$A$1:$B$300,2,FALSE)</f>
        <v>#N/A</v>
      </c>
    </row>
    <row r="276" spans="1:7" x14ac:dyDescent="0.25">
      <c r="A276" t="s">
        <v>623</v>
      </c>
      <c r="B276" t="s">
        <v>624</v>
      </c>
      <c r="C276" t="s">
        <v>8</v>
      </c>
      <c r="D276">
        <v>3</v>
      </c>
      <c r="E276" t="s">
        <v>83</v>
      </c>
      <c r="F276" t="s">
        <v>532</v>
      </c>
      <c r="G276" t="e">
        <f>VLOOKUP(A276,fullrosterCWLrole!$A$1:$B$300,2,FALSE)</f>
        <v>#N/A</v>
      </c>
    </row>
    <row r="277" spans="1:7" x14ac:dyDescent="0.25">
      <c r="A277" t="s">
        <v>625</v>
      </c>
      <c r="B277" t="s">
        <v>626</v>
      </c>
      <c r="C277" t="s">
        <v>8</v>
      </c>
      <c r="D277">
        <v>13</v>
      </c>
      <c r="E277" t="s">
        <v>328</v>
      </c>
      <c r="F277" t="s">
        <v>627</v>
      </c>
      <c r="G277" t="str">
        <f>VLOOKUP(A277,fullrosterCWLrole!$A$1:$B$300,2,FALSE)</f>
        <v>Attacker</v>
      </c>
    </row>
    <row r="278" spans="1:7" x14ac:dyDescent="0.25">
      <c r="A278" t="s">
        <v>628</v>
      </c>
      <c r="B278" t="s">
        <v>629</v>
      </c>
      <c r="C278" t="s">
        <v>8</v>
      </c>
      <c r="D278">
        <v>7</v>
      </c>
      <c r="E278" t="s">
        <v>86</v>
      </c>
      <c r="F278" t="s">
        <v>627</v>
      </c>
      <c r="G278" t="e">
        <f>VLOOKUP(A278,fullrosterCWLrole!$A$1:$B$300,2,FALSE)</f>
        <v>#N/A</v>
      </c>
    </row>
    <row r="279" spans="1:7" x14ac:dyDescent="0.25">
      <c r="A279" t="s">
        <v>630</v>
      </c>
      <c r="B279" t="s">
        <v>631</v>
      </c>
      <c r="C279" t="s">
        <v>8</v>
      </c>
      <c r="D279">
        <v>8</v>
      </c>
      <c r="E279" t="s">
        <v>83</v>
      </c>
      <c r="F279" t="s">
        <v>627</v>
      </c>
      <c r="G279" t="e">
        <f>VLOOKUP(A279,fullrosterCWLrole!$A$1:$B$300,2,FALSE)</f>
        <v>#N/A</v>
      </c>
    </row>
    <row r="280" spans="1:7" x14ac:dyDescent="0.25">
      <c r="A280" t="s">
        <v>632</v>
      </c>
      <c r="B280" t="s">
        <v>633</v>
      </c>
      <c r="C280" t="s">
        <v>8</v>
      </c>
      <c r="D280">
        <v>8</v>
      </c>
      <c r="E280" t="s">
        <v>83</v>
      </c>
      <c r="F280" t="s">
        <v>627</v>
      </c>
      <c r="G280" t="e">
        <f>VLOOKUP(A280,fullrosterCWLrole!$A$1:$B$300,2,FALSE)</f>
        <v>#N/A</v>
      </c>
    </row>
    <row r="281" spans="1:7" x14ac:dyDescent="0.25">
      <c r="A281" t="s">
        <v>634</v>
      </c>
      <c r="B281" t="s">
        <v>635</v>
      </c>
      <c r="C281" t="s">
        <v>8</v>
      </c>
      <c r="D281">
        <v>8</v>
      </c>
      <c r="E281" t="s">
        <v>83</v>
      </c>
      <c r="F281" t="s">
        <v>627</v>
      </c>
      <c r="G281" t="e">
        <f>VLOOKUP(A281,fullrosterCWLrole!$A$1:$B$300,2,FALSE)</f>
        <v>#N/A</v>
      </c>
    </row>
    <row r="282" spans="1:7" x14ac:dyDescent="0.25">
      <c r="A282" t="s">
        <v>636</v>
      </c>
      <c r="B282" t="s">
        <v>637</v>
      </c>
      <c r="C282" t="s">
        <v>125</v>
      </c>
      <c r="D282">
        <v>7</v>
      </c>
      <c r="E282" t="s">
        <v>134</v>
      </c>
      <c r="F282" t="s">
        <v>627</v>
      </c>
      <c r="G282" t="e">
        <f>VLOOKUP(A282,fullrosterCWLrole!$A$1:$B$300,2,FALSE)</f>
        <v>#N/A</v>
      </c>
    </row>
    <row r="283" spans="1:7" x14ac:dyDescent="0.25">
      <c r="A283" t="s">
        <v>638</v>
      </c>
      <c r="B283" t="s">
        <v>639</v>
      </c>
      <c r="C283" t="s">
        <v>8</v>
      </c>
      <c r="D283">
        <v>6</v>
      </c>
      <c r="E283" t="s">
        <v>83</v>
      </c>
      <c r="F283" t="s">
        <v>627</v>
      </c>
      <c r="G283" t="e">
        <f>VLOOKUP(A283,fullrosterCWLrole!$A$1:$B$300,2,FALSE)</f>
        <v>#N/A</v>
      </c>
    </row>
    <row r="284" spans="1:7" x14ac:dyDescent="0.25">
      <c r="A284" t="s">
        <v>640</v>
      </c>
      <c r="B284" t="s">
        <v>641</v>
      </c>
      <c r="C284" t="s">
        <v>22</v>
      </c>
      <c r="D284">
        <v>5</v>
      </c>
      <c r="E284" t="s">
        <v>83</v>
      </c>
      <c r="F284" t="s">
        <v>627</v>
      </c>
      <c r="G284" t="e">
        <f>VLOOKUP(A284,fullrosterCWLrole!$A$1:$B$300,2,FALSE)</f>
        <v>#N/A</v>
      </c>
    </row>
    <row r="285" spans="1:7" x14ac:dyDescent="0.25">
      <c r="A285" t="s">
        <v>642</v>
      </c>
      <c r="B285" t="s">
        <v>643</v>
      </c>
      <c r="C285" t="s">
        <v>8</v>
      </c>
      <c r="D285">
        <v>6</v>
      </c>
      <c r="E285" t="s">
        <v>83</v>
      </c>
      <c r="F285" t="s">
        <v>627</v>
      </c>
      <c r="G285" t="e">
        <f>VLOOKUP(A285,fullrosterCWLrole!$A$1:$B$300,2,FALSE)</f>
        <v>#N/A</v>
      </c>
    </row>
    <row r="286" spans="1:7" x14ac:dyDescent="0.25">
      <c r="A286" t="s">
        <v>644</v>
      </c>
      <c r="B286" t="s">
        <v>645</v>
      </c>
      <c r="C286" t="s">
        <v>22</v>
      </c>
      <c r="D286">
        <v>6</v>
      </c>
      <c r="E286" t="s">
        <v>213</v>
      </c>
      <c r="F286" t="s">
        <v>627</v>
      </c>
      <c r="G286" t="e">
        <f>VLOOKUP(A286,fullrosterCWLrole!$A$1:$B$300,2,FALSE)</f>
        <v>#N/A</v>
      </c>
    </row>
    <row r="287" spans="1:7" x14ac:dyDescent="0.25">
      <c r="A287" t="s">
        <v>646</v>
      </c>
      <c r="B287" t="s">
        <v>647</v>
      </c>
      <c r="C287" t="s">
        <v>8</v>
      </c>
      <c r="D287">
        <v>5</v>
      </c>
      <c r="E287" t="s">
        <v>83</v>
      </c>
      <c r="F287" t="s">
        <v>627</v>
      </c>
      <c r="G287" t="e">
        <f>VLOOKUP(A287,fullrosterCWLrole!$A$1:$B$300,2,FALSE)</f>
        <v>#N/A</v>
      </c>
    </row>
    <row r="288" spans="1:7" x14ac:dyDescent="0.25">
      <c r="A288" t="s">
        <v>648</v>
      </c>
      <c r="B288" t="s">
        <v>649</v>
      </c>
      <c r="C288" t="s">
        <v>8</v>
      </c>
      <c r="D288">
        <v>5</v>
      </c>
      <c r="E288" t="s">
        <v>213</v>
      </c>
      <c r="F288" t="s">
        <v>627</v>
      </c>
      <c r="G288" t="e">
        <f>VLOOKUP(A288,fullrosterCWLrole!$A$1:$B$300,2,FALSE)</f>
        <v>#N/A</v>
      </c>
    </row>
    <row r="289" spans="1:7" x14ac:dyDescent="0.25">
      <c r="A289" t="s">
        <v>650</v>
      </c>
      <c r="B289" t="s">
        <v>651</v>
      </c>
      <c r="C289" t="s">
        <v>22</v>
      </c>
      <c r="D289">
        <v>5</v>
      </c>
      <c r="E289" t="s">
        <v>83</v>
      </c>
      <c r="F289" t="s">
        <v>627</v>
      </c>
      <c r="G289" t="e">
        <f>VLOOKUP(A289,fullrosterCWLrole!$A$1:$B$300,2,FALSE)</f>
        <v>#N/A</v>
      </c>
    </row>
    <row r="290" spans="1:7" x14ac:dyDescent="0.25">
      <c r="A290" t="s">
        <v>652</v>
      </c>
      <c r="B290" t="s">
        <v>653</v>
      </c>
      <c r="C290" t="s">
        <v>8</v>
      </c>
      <c r="D290">
        <v>5</v>
      </c>
      <c r="E290" t="s">
        <v>83</v>
      </c>
      <c r="F290" t="s">
        <v>627</v>
      </c>
      <c r="G290" t="e">
        <f>VLOOKUP(A290,fullrosterCWLrole!$A$1:$B$300,2,FALSE)</f>
        <v>#N/A</v>
      </c>
    </row>
    <row r="291" spans="1:7" x14ac:dyDescent="0.25">
      <c r="A291" t="s">
        <v>654</v>
      </c>
      <c r="B291" t="s">
        <v>655</v>
      </c>
      <c r="C291" t="s">
        <v>22</v>
      </c>
      <c r="D291">
        <v>4</v>
      </c>
      <c r="E291" t="s">
        <v>83</v>
      </c>
      <c r="F291" t="s">
        <v>627</v>
      </c>
      <c r="G291" t="e">
        <f>VLOOKUP(A291,fullrosterCWLrole!$A$1:$B$300,2,FALSE)</f>
        <v>#N/A</v>
      </c>
    </row>
    <row r="292" spans="1:7" x14ac:dyDescent="0.25">
      <c r="A292" t="s">
        <v>656</v>
      </c>
      <c r="B292" t="s">
        <v>657</v>
      </c>
      <c r="C292" t="s">
        <v>8</v>
      </c>
      <c r="D292">
        <v>4</v>
      </c>
      <c r="E292" t="s">
        <v>235</v>
      </c>
      <c r="F292" t="s">
        <v>627</v>
      </c>
      <c r="G292" t="e">
        <f>VLOOKUP(A292,fullrosterCWLrole!$A$1:$B$300,2,FALSE)</f>
        <v>#N/A</v>
      </c>
    </row>
    <row r="293" spans="1:7" x14ac:dyDescent="0.25">
      <c r="A293" t="s">
        <v>658</v>
      </c>
      <c r="B293" t="s">
        <v>659</v>
      </c>
      <c r="C293" t="s">
        <v>8</v>
      </c>
      <c r="D293">
        <v>4</v>
      </c>
      <c r="E293" t="s">
        <v>83</v>
      </c>
      <c r="F293" t="s">
        <v>627</v>
      </c>
      <c r="G293" t="e">
        <f>VLOOKUP(A293,fullrosterCWLrole!$A$1:$B$300,2,FALSE)</f>
        <v>#N/A</v>
      </c>
    </row>
    <row r="294" spans="1:7" x14ac:dyDescent="0.25">
      <c r="A294" t="s">
        <v>660</v>
      </c>
      <c r="B294" t="s">
        <v>661</v>
      </c>
      <c r="C294" t="s">
        <v>8</v>
      </c>
      <c r="D294">
        <v>4</v>
      </c>
      <c r="E294" t="s">
        <v>83</v>
      </c>
      <c r="F294" t="s">
        <v>627</v>
      </c>
      <c r="G294" t="e">
        <f>VLOOKUP(A294,fullrosterCWLrole!$A$1:$B$300,2,FALSE)</f>
        <v>#N/A</v>
      </c>
    </row>
    <row r="295" spans="1:7" x14ac:dyDescent="0.25">
      <c r="A295" t="s">
        <v>662</v>
      </c>
      <c r="B295" t="s">
        <v>663</v>
      </c>
      <c r="C295" t="s">
        <v>8</v>
      </c>
      <c r="D295">
        <v>4</v>
      </c>
      <c r="E295" t="s">
        <v>83</v>
      </c>
      <c r="F295" t="s">
        <v>627</v>
      </c>
      <c r="G295" t="e">
        <f>VLOOKUP(A295,fullrosterCWLrole!$A$1:$B$300,2,FALSE)</f>
        <v>#N/A</v>
      </c>
    </row>
    <row r="296" spans="1:7" x14ac:dyDescent="0.25">
      <c r="A296" t="s">
        <v>664</v>
      </c>
      <c r="B296" t="s">
        <v>665</v>
      </c>
      <c r="C296" t="s">
        <v>8</v>
      </c>
      <c r="D296">
        <v>3</v>
      </c>
      <c r="E296" t="s">
        <v>83</v>
      </c>
      <c r="F296" t="s">
        <v>627</v>
      </c>
      <c r="G296" t="e">
        <f>VLOOKUP(A296,fullrosterCWLrole!$A$1:$B$300,2,FALSE)</f>
        <v>#N/A</v>
      </c>
    </row>
    <row r="297" spans="1:7" x14ac:dyDescent="0.25">
      <c r="A297" t="s">
        <v>666</v>
      </c>
      <c r="B297" t="s">
        <v>667</v>
      </c>
      <c r="C297" t="s">
        <v>22</v>
      </c>
      <c r="D297">
        <v>3</v>
      </c>
      <c r="E297" t="s">
        <v>83</v>
      </c>
      <c r="F297" t="s">
        <v>627</v>
      </c>
      <c r="G297" t="e">
        <f>VLOOKUP(A297,fullrosterCWLrole!$A$1:$B$300,2,FALSE)</f>
        <v>#N/A</v>
      </c>
    </row>
    <row r="298" spans="1:7" x14ac:dyDescent="0.25">
      <c r="A298" t="s">
        <v>668</v>
      </c>
      <c r="B298" t="s">
        <v>669</v>
      </c>
      <c r="C298" t="s">
        <v>8</v>
      </c>
      <c r="D298">
        <v>4</v>
      </c>
      <c r="E298" t="s">
        <v>83</v>
      </c>
      <c r="F298" t="s">
        <v>627</v>
      </c>
      <c r="G298" t="e">
        <f>VLOOKUP(A298,fullrosterCWLrole!$A$1:$B$300,2,FALSE)</f>
        <v>#N/A</v>
      </c>
    </row>
    <row r="299" spans="1:7" x14ac:dyDescent="0.25">
      <c r="A299" t="s">
        <v>670</v>
      </c>
      <c r="B299" t="s">
        <v>671</v>
      </c>
      <c r="C299" t="s">
        <v>8</v>
      </c>
      <c r="D299">
        <v>4</v>
      </c>
      <c r="E299" t="s">
        <v>83</v>
      </c>
      <c r="F299" t="s">
        <v>627</v>
      </c>
      <c r="G299" t="e">
        <f>VLOOKUP(A299,fullrosterCWLrole!$A$1:$B$300,2,FALSE)</f>
        <v>#N/A</v>
      </c>
    </row>
    <row r="300" spans="1:7" x14ac:dyDescent="0.25">
      <c r="A300" t="s">
        <v>672</v>
      </c>
      <c r="B300" t="s">
        <v>673</v>
      </c>
      <c r="C300" t="s">
        <v>8</v>
      </c>
      <c r="D300">
        <v>3</v>
      </c>
      <c r="E300" t="s">
        <v>83</v>
      </c>
      <c r="F300" t="s">
        <v>627</v>
      </c>
      <c r="G300" t="e">
        <f>VLOOKUP(A300,fullrosterCWLrole!$A$1:$B$300,2,FALSE)</f>
        <v>#N/A</v>
      </c>
    </row>
    <row r="301" spans="1:7" x14ac:dyDescent="0.25">
      <c r="A301" t="s">
        <v>674</v>
      </c>
      <c r="B301" t="s">
        <v>675</v>
      </c>
      <c r="C301" t="s">
        <v>8</v>
      </c>
      <c r="D301">
        <v>3</v>
      </c>
      <c r="E301" t="s">
        <v>83</v>
      </c>
      <c r="F301" t="s">
        <v>627</v>
      </c>
      <c r="G301" t="e">
        <f>VLOOKUP(A301,fullrosterCWLrole!$A$1:$B$300,2,FALSE)</f>
        <v>#N/A</v>
      </c>
    </row>
    <row r="302" spans="1:7" x14ac:dyDescent="0.25">
      <c r="A302" t="s">
        <v>676</v>
      </c>
      <c r="B302" t="s">
        <v>677</v>
      </c>
      <c r="C302" t="s">
        <v>8</v>
      </c>
      <c r="D302">
        <v>4</v>
      </c>
      <c r="E302" t="s">
        <v>83</v>
      </c>
      <c r="F302" t="s">
        <v>627</v>
      </c>
      <c r="G302" t="e">
        <f>VLOOKUP(A302,fullrosterCWLrole!$A$1:$B$300,2,FALSE)</f>
        <v>#N/A</v>
      </c>
    </row>
  </sheetData>
  <mergeCells count="4">
    <mergeCell ref="I10:L10"/>
    <mergeCell ref="J11:L11"/>
    <mergeCell ref="J12:L12"/>
    <mergeCell ref="I15:L15"/>
  </mergeCells>
  <conditionalFormatting sqref="P11:Q16">
    <cfRule type="containsText" dxfId="4" priority="5" operator="containsText" text="Red">
      <formula>NOT(ISERROR(SEARCH("Red",P11)))</formula>
    </cfRule>
    <cfRule type="containsText" dxfId="3" priority="4" operator="containsText" text="Orange">
      <formula>NOT(ISERROR(SEARCH("Orange",P11)))</formula>
    </cfRule>
    <cfRule type="containsText" dxfId="2" priority="3" operator="containsText" text="Green">
      <formula>NOT(ISERROR(SEARCH("Green",P11)))</formula>
    </cfRule>
    <cfRule type="containsText" dxfId="1" priority="2" operator="containsText" text="Tile">
      <formula>NOT(ISERROR(SEARCH("Tile",P11)))</formula>
    </cfRule>
    <cfRule type="containsText" dxfId="0" priority="1" operator="containsText" text="Over">
      <formula>NOT(ISERROR(SEARCH("Over",P11)))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5"/>
  <sheetViews>
    <sheetView workbookViewId="0">
      <selection activeCell="H9" sqref="H9"/>
    </sheetView>
  </sheetViews>
  <sheetFormatPr defaultRowHeight="15" x14ac:dyDescent="0.25"/>
  <sheetData>
    <row r="1" spans="1:8" x14ac:dyDescent="0.25">
      <c r="A1" t="s">
        <v>678</v>
      </c>
      <c r="B1" t="s">
        <v>679</v>
      </c>
    </row>
    <row r="2" spans="1:8" x14ac:dyDescent="0.25">
      <c r="A2" t="s">
        <v>143</v>
      </c>
      <c r="B2" t="s">
        <v>680</v>
      </c>
    </row>
    <row r="3" spans="1:8" x14ac:dyDescent="0.25">
      <c r="A3" t="s">
        <v>150</v>
      </c>
      <c r="B3" t="s">
        <v>681</v>
      </c>
    </row>
    <row r="4" spans="1:8" x14ac:dyDescent="0.25">
      <c r="A4" t="s">
        <v>146</v>
      </c>
      <c r="B4" t="s">
        <v>680</v>
      </c>
    </row>
    <row r="5" spans="1:8" x14ac:dyDescent="0.25">
      <c r="A5" t="s">
        <v>171</v>
      </c>
      <c r="B5" t="s">
        <v>680</v>
      </c>
    </row>
    <row r="6" spans="1:8" x14ac:dyDescent="0.25">
      <c r="A6" t="s">
        <v>169</v>
      </c>
      <c r="B6" t="s">
        <v>682</v>
      </c>
    </row>
    <row r="7" spans="1:8" x14ac:dyDescent="0.25">
      <c r="A7" t="s">
        <v>167</v>
      </c>
      <c r="B7" t="s">
        <v>682</v>
      </c>
    </row>
    <row r="8" spans="1:8" x14ac:dyDescent="0.25">
      <c r="A8" t="s">
        <v>165</v>
      </c>
      <c r="B8" t="s">
        <v>682</v>
      </c>
    </row>
    <row r="9" spans="1:8" ht="15.75" x14ac:dyDescent="0.25">
      <c r="A9" t="s">
        <v>163</v>
      </c>
      <c r="B9" t="s">
        <v>682</v>
      </c>
      <c r="H9" s="1" t="e">
        <f>VLOOKUP(A2,[1]fullrosterCWLrole!$A$1:$B$300,2,FALSE)</f>
        <v>#N/A</v>
      </c>
    </row>
    <row r="10" spans="1:8" x14ac:dyDescent="0.25">
      <c r="A10" t="s">
        <v>161</v>
      </c>
      <c r="B10" t="s">
        <v>682</v>
      </c>
    </row>
    <row r="11" spans="1:8" x14ac:dyDescent="0.25">
      <c r="A11" t="s">
        <v>157</v>
      </c>
      <c r="B11" t="s">
        <v>680</v>
      </c>
    </row>
    <row r="12" spans="1:8" x14ac:dyDescent="0.25">
      <c r="A12" t="s">
        <v>159</v>
      </c>
      <c r="B12" t="s">
        <v>680</v>
      </c>
    </row>
    <row r="13" spans="1:8" x14ac:dyDescent="0.25">
      <c r="A13" t="s">
        <v>155</v>
      </c>
      <c r="B13" t="s">
        <v>683</v>
      </c>
    </row>
    <row r="14" spans="1:8" x14ac:dyDescent="0.25">
      <c r="A14" t="s">
        <v>152</v>
      </c>
      <c r="B14" t="s">
        <v>682</v>
      </c>
    </row>
    <row r="15" spans="1:8" x14ac:dyDescent="0.25">
      <c r="A15" t="s">
        <v>173</v>
      </c>
      <c r="B15" t="s">
        <v>680</v>
      </c>
    </row>
    <row r="16" spans="1:8" x14ac:dyDescent="0.25">
      <c r="A16" t="s">
        <v>282</v>
      </c>
      <c r="B16" t="s">
        <v>682</v>
      </c>
    </row>
    <row r="17" spans="1:2" x14ac:dyDescent="0.25">
      <c r="A17" t="s">
        <v>280</v>
      </c>
      <c r="B17" t="s">
        <v>682</v>
      </c>
    </row>
    <row r="18" spans="1:2" x14ac:dyDescent="0.25">
      <c r="A18" t="s">
        <v>684</v>
      </c>
      <c r="B18" t="s">
        <v>685</v>
      </c>
    </row>
    <row r="19" spans="1:2" x14ac:dyDescent="0.25">
      <c r="A19" t="s">
        <v>278</v>
      </c>
      <c r="B19" t="s">
        <v>686</v>
      </c>
    </row>
    <row r="20" spans="1:2" x14ac:dyDescent="0.25">
      <c r="A20" t="s">
        <v>276</v>
      </c>
      <c r="B20" t="s">
        <v>682</v>
      </c>
    </row>
    <row r="21" spans="1:2" x14ac:dyDescent="0.25">
      <c r="A21" t="s">
        <v>273</v>
      </c>
      <c r="B21" t="s">
        <v>682</v>
      </c>
    </row>
    <row r="22" spans="1:2" x14ac:dyDescent="0.25">
      <c r="A22" t="s">
        <v>284</v>
      </c>
      <c r="B22" t="s">
        <v>682</v>
      </c>
    </row>
    <row r="23" spans="1:2" x14ac:dyDescent="0.25">
      <c r="A23" t="s">
        <v>687</v>
      </c>
      <c r="B23" t="s">
        <v>682</v>
      </c>
    </row>
    <row r="24" spans="1:2" x14ac:dyDescent="0.25">
      <c r="A24" t="s">
        <v>294</v>
      </c>
      <c r="B24" t="s">
        <v>686</v>
      </c>
    </row>
    <row r="25" spans="1:2" x14ac:dyDescent="0.25">
      <c r="A25" t="s">
        <v>292</v>
      </c>
      <c r="B25" t="s">
        <v>682</v>
      </c>
    </row>
    <row r="26" spans="1:2" x14ac:dyDescent="0.25">
      <c r="A26" t="s">
        <v>318</v>
      </c>
      <c r="B26" t="s">
        <v>686</v>
      </c>
    </row>
    <row r="27" spans="1:2" x14ac:dyDescent="0.25">
      <c r="A27" t="s">
        <v>242</v>
      </c>
      <c r="B27" t="s">
        <v>686</v>
      </c>
    </row>
    <row r="28" spans="1:2" x14ac:dyDescent="0.25">
      <c r="A28" t="s">
        <v>236</v>
      </c>
      <c r="B28" t="s">
        <v>686</v>
      </c>
    </row>
    <row r="29" spans="1:2" x14ac:dyDescent="0.25">
      <c r="A29" t="s">
        <v>230</v>
      </c>
      <c r="B29" t="s">
        <v>686</v>
      </c>
    </row>
    <row r="30" spans="1:2" x14ac:dyDescent="0.25">
      <c r="A30" t="s">
        <v>201</v>
      </c>
      <c r="B30" t="s">
        <v>686</v>
      </c>
    </row>
    <row r="31" spans="1:2" x14ac:dyDescent="0.25">
      <c r="A31" t="s">
        <v>220</v>
      </c>
      <c r="B31" t="s">
        <v>686</v>
      </c>
    </row>
    <row r="32" spans="1:2" x14ac:dyDescent="0.25">
      <c r="A32" t="s">
        <v>216</v>
      </c>
      <c r="B32" t="s">
        <v>686</v>
      </c>
    </row>
    <row r="33" spans="1:2" x14ac:dyDescent="0.25">
      <c r="A33" t="s">
        <v>218</v>
      </c>
      <c r="B33" t="s">
        <v>686</v>
      </c>
    </row>
    <row r="34" spans="1:2" x14ac:dyDescent="0.25">
      <c r="A34" t="s">
        <v>214</v>
      </c>
      <c r="B34" t="s">
        <v>686</v>
      </c>
    </row>
    <row r="35" spans="1:2" x14ac:dyDescent="0.25">
      <c r="A35" t="s">
        <v>310</v>
      </c>
      <c r="B35" t="s">
        <v>682</v>
      </c>
    </row>
    <row r="36" spans="1:2" x14ac:dyDescent="0.25">
      <c r="A36" t="s">
        <v>197</v>
      </c>
      <c r="B36" t="s">
        <v>686</v>
      </c>
    </row>
    <row r="37" spans="1:2" x14ac:dyDescent="0.25">
      <c r="A37" t="s">
        <v>314</v>
      </c>
      <c r="B37" t="s">
        <v>685</v>
      </c>
    </row>
    <row r="38" spans="1:2" x14ac:dyDescent="0.25">
      <c r="A38" t="s">
        <v>189</v>
      </c>
      <c r="B38" t="s">
        <v>686</v>
      </c>
    </row>
    <row r="39" spans="1:2" x14ac:dyDescent="0.25">
      <c r="A39" t="s">
        <v>209</v>
      </c>
      <c r="B39" t="s">
        <v>686</v>
      </c>
    </row>
    <row r="40" spans="1:2" x14ac:dyDescent="0.25">
      <c r="A40" t="s">
        <v>195</v>
      </c>
      <c r="B40" t="s">
        <v>686</v>
      </c>
    </row>
    <row r="41" spans="1:2" x14ac:dyDescent="0.25">
      <c r="A41" t="s">
        <v>688</v>
      </c>
      <c r="B41" t="s">
        <v>689</v>
      </c>
    </row>
    <row r="42" spans="1:2" x14ac:dyDescent="0.25">
      <c r="A42" t="s">
        <v>312</v>
      </c>
      <c r="B42" t="s">
        <v>682</v>
      </c>
    </row>
    <row r="43" spans="1:2" x14ac:dyDescent="0.25">
      <c r="A43" t="s">
        <v>308</v>
      </c>
      <c r="B43" t="s">
        <v>689</v>
      </c>
    </row>
    <row r="44" spans="1:2" x14ac:dyDescent="0.25">
      <c r="A44" t="s">
        <v>187</v>
      </c>
      <c r="B44" t="s">
        <v>686</v>
      </c>
    </row>
    <row r="45" spans="1:2" x14ac:dyDescent="0.25">
      <c r="A45" t="s">
        <v>304</v>
      </c>
      <c r="B45" t="s">
        <v>682</v>
      </c>
    </row>
    <row r="46" spans="1:2" x14ac:dyDescent="0.25">
      <c r="A46" t="s">
        <v>306</v>
      </c>
      <c r="B46" t="s">
        <v>682</v>
      </c>
    </row>
    <row r="47" spans="1:2" x14ac:dyDescent="0.25">
      <c r="A47" t="s">
        <v>302</v>
      </c>
      <c r="B47" t="s">
        <v>689</v>
      </c>
    </row>
    <row r="48" spans="1:2" x14ac:dyDescent="0.25">
      <c r="A48" t="s">
        <v>300</v>
      </c>
      <c r="B48" t="s">
        <v>682</v>
      </c>
    </row>
    <row r="49" spans="1:2" x14ac:dyDescent="0.25">
      <c r="A49" t="s">
        <v>117</v>
      </c>
      <c r="B49" t="s">
        <v>680</v>
      </c>
    </row>
    <row r="50" spans="1:2" x14ac:dyDescent="0.25">
      <c r="A50" t="s">
        <v>298</v>
      </c>
      <c r="B50" t="s">
        <v>689</v>
      </c>
    </row>
    <row r="51" spans="1:2" x14ac:dyDescent="0.25">
      <c r="A51" t="s">
        <v>30</v>
      </c>
      <c r="B51" t="s">
        <v>686</v>
      </c>
    </row>
    <row r="52" spans="1:2" x14ac:dyDescent="0.25">
      <c r="A52" t="s">
        <v>296</v>
      </c>
      <c r="B52" t="s">
        <v>685</v>
      </c>
    </row>
    <row r="53" spans="1:2" x14ac:dyDescent="0.25">
      <c r="A53" t="s">
        <v>182</v>
      </c>
      <c r="B53" t="s">
        <v>683</v>
      </c>
    </row>
    <row r="54" spans="1:2" x14ac:dyDescent="0.25">
      <c r="A54" t="s">
        <v>25</v>
      </c>
      <c r="B54" t="s">
        <v>686</v>
      </c>
    </row>
    <row r="55" spans="1:2" x14ac:dyDescent="0.25">
      <c r="A55" t="s">
        <v>320</v>
      </c>
      <c r="B55" t="s">
        <v>680</v>
      </c>
    </row>
    <row r="56" spans="1:2" x14ac:dyDescent="0.25">
      <c r="A56" t="s">
        <v>141</v>
      </c>
      <c r="B56" t="s">
        <v>686</v>
      </c>
    </row>
    <row r="57" spans="1:2" x14ac:dyDescent="0.25">
      <c r="A57" t="s">
        <v>137</v>
      </c>
      <c r="B57" t="s">
        <v>689</v>
      </c>
    </row>
    <row r="58" spans="1:2" x14ac:dyDescent="0.25">
      <c r="A58" t="s">
        <v>132</v>
      </c>
      <c r="B58" t="s">
        <v>686</v>
      </c>
    </row>
    <row r="59" spans="1:2" x14ac:dyDescent="0.25">
      <c r="A59" t="s">
        <v>135</v>
      </c>
      <c r="B59" t="s">
        <v>686</v>
      </c>
    </row>
    <row r="60" spans="1:2" x14ac:dyDescent="0.25">
      <c r="A60" t="s">
        <v>690</v>
      </c>
      <c r="B60" t="s">
        <v>686</v>
      </c>
    </row>
    <row r="61" spans="1:2" x14ac:dyDescent="0.25">
      <c r="A61" t="s">
        <v>130</v>
      </c>
      <c r="B61" t="s">
        <v>680</v>
      </c>
    </row>
    <row r="62" spans="1:2" x14ac:dyDescent="0.25">
      <c r="A62" t="s">
        <v>691</v>
      </c>
      <c r="B62" t="s">
        <v>689</v>
      </c>
    </row>
    <row r="63" spans="1:2" x14ac:dyDescent="0.25">
      <c r="A63" t="s">
        <v>128</v>
      </c>
      <c r="B63" t="s">
        <v>686</v>
      </c>
    </row>
    <row r="64" spans="1:2" x14ac:dyDescent="0.25">
      <c r="A64" t="s">
        <v>126</v>
      </c>
      <c r="B64" t="s">
        <v>689</v>
      </c>
    </row>
    <row r="65" spans="1:2" x14ac:dyDescent="0.25">
      <c r="A65" t="s">
        <v>104</v>
      </c>
      <c r="B65" t="s">
        <v>685</v>
      </c>
    </row>
    <row r="66" spans="1:2" x14ac:dyDescent="0.25">
      <c r="A66" t="s">
        <v>692</v>
      </c>
      <c r="B66" t="s">
        <v>685</v>
      </c>
    </row>
    <row r="67" spans="1:2" x14ac:dyDescent="0.25">
      <c r="A67" t="s">
        <v>121</v>
      </c>
      <c r="B67" t="s">
        <v>686</v>
      </c>
    </row>
    <row r="68" spans="1:2" x14ac:dyDescent="0.25">
      <c r="A68" t="s">
        <v>108</v>
      </c>
      <c r="B68" t="s">
        <v>689</v>
      </c>
    </row>
    <row r="69" spans="1:2" x14ac:dyDescent="0.25">
      <c r="A69" t="s">
        <v>112</v>
      </c>
      <c r="B69" t="s">
        <v>689</v>
      </c>
    </row>
    <row r="70" spans="1:2" x14ac:dyDescent="0.25">
      <c r="A70" t="s">
        <v>101</v>
      </c>
      <c r="B70" t="s">
        <v>682</v>
      </c>
    </row>
    <row r="71" spans="1:2" x14ac:dyDescent="0.25">
      <c r="A71" t="s">
        <v>123</v>
      </c>
      <c r="B71" t="s">
        <v>682</v>
      </c>
    </row>
    <row r="72" spans="1:2" x14ac:dyDescent="0.25">
      <c r="A72" t="s">
        <v>93</v>
      </c>
      <c r="B72" t="s">
        <v>689</v>
      </c>
    </row>
    <row r="73" spans="1:2" x14ac:dyDescent="0.25">
      <c r="A73" t="s">
        <v>97</v>
      </c>
      <c r="B73" t="s">
        <v>689</v>
      </c>
    </row>
    <row r="74" spans="1:2" x14ac:dyDescent="0.25">
      <c r="A74" t="s">
        <v>119</v>
      </c>
      <c r="B74" t="s">
        <v>689</v>
      </c>
    </row>
    <row r="75" spans="1:2" x14ac:dyDescent="0.25">
      <c r="A75" t="s">
        <v>693</v>
      </c>
      <c r="B75" t="s">
        <v>689</v>
      </c>
    </row>
    <row r="76" spans="1:2" x14ac:dyDescent="0.25">
      <c r="A76" t="s">
        <v>84</v>
      </c>
      <c r="B76" t="s">
        <v>689</v>
      </c>
    </row>
    <row r="77" spans="1:2" x14ac:dyDescent="0.25">
      <c r="A77" t="s">
        <v>694</v>
      </c>
      <c r="B77" t="s">
        <v>689</v>
      </c>
    </row>
    <row r="78" spans="1:2" x14ac:dyDescent="0.25">
      <c r="A78" t="s">
        <v>110</v>
      </c>
      <c r="B78" t="s">
        <v>686</v>
      </c>
    </row>
    <row r="79" spans="1:2" x14ac:dyDescent="0.25">
      <c r="A79" t="s">
        <v>695</v>
      </c>
      <c r="B79" t="s">
        <v>685</v>
      </c>
    </row>
    <row r="80" spans="1:2" x14ac:dyDescent="0.25">
      <c r="A80" t="s">
        <v>69</v>
      </c>
      <c r="B80" t="s">
        <v>689</v>
      </c>
    </row>
    <row r="81" spans="1:2" x14ac:dyDescent="0.25">
      <c r="A81" t="s">
        <v>89</v>
      </c>
      <c r="B81" t="s">
        <v>689</v>
      </c>
    </row>
    <row r="82" spans="1:2" x14ac:dyDescent="0.25">
      <c r="A82" t="s">
        <v>696</v>
      </c>
      <c r="B82" t="s">
        <v>689</v>
      </c>
    </row>
    <row r="83" spans="1:2" x14ac:dyDescent="0.25">
      <c r="A83" t="s">
        <v>78</v>
      </c>
      <c r="B83" t="s">
        <v>686</v>
      </c>
    </row>
    <row r="84" spans="1:2" x14ac:dyDescent="0.25">
      <c r="A84" t="s">
        <v>504</v>
      </c>
      <c r="B84" t="s">
        <v>689</v>
      </c>
    </row>
    <row r="85" spans="1:2" x14ac:dyDescent="0.25">
      <c r="A85" t="s">
        <v>34</v>
      </c>
      <c r="B85" t="s">
        <v>689</v>
      </c>
    </row>
    <row r="86" spans="1:2" x14ac:dyDescent="0.25">
      <c r="A86" t="s">
        <v>65</v>
      </c>
      <c r="B86" t="s">
        <v>686</v>
      </c>
    </row>
    <row r="87" spans="1:2" x14ac:dyDescent="0.25">
      <c r="A87" t="s">
        <v>87</v>
      </c>
      <c r="B87" t="s">
        <v>689</v>
      </c>
    </row>
    <row r="88" spans="1:2" x14ac:dyDescent="0.25">
      <c r="A88" t="s">
        <v>47</v>
      </c>
      <c r="B88" t="s">
        <v>689</v>
      </c>
    </row>
    <row r="89" spans="1:2" x14ac:dyDescent="0.25">
      <c r="A89" t="s">
        <v>59</v>
      </c>
      <c r="B89" t="s">
        <v>680</v>
      </c>
    </row>
    <row r="90" spans="1:2" x14ac:dyDescent="0.25">
      <c r="A90" t="s">
        <v>38</v>
      </c>
      <c r="B90" t="s">
        <v>689</v>
      </c>
    </row>
    <row r="91" spans="1:2" x14ac:dyDescent="0.25">
      <c r="A91" t="s">
        <v>53</v>
      </c>
      <c r="B91" t="s">
        <v>689</v>
      </c>
    </row>
    <row r="92" spans="1:2" x14ac:dyDescent="0.25">
      <c r="A92" t="s">
        <v>468</v>
      </c>
      <c r="B92" t="s">
        <v>689</v>
      </c>
    </row>
    <row r="93" spans="1:2" x14ac:dyDescent="0.25">
      <c r="A93" t="s">
        <v>73</v>
      </c>
      <c r="B93" t="s">
        <v>689</v>
      </c>
    </row>
    <row r="94" spans="1:2" x14ac:dyDescent="0.25">
      <c r="A94" t="s">
        <v>41</v>
      </c>
      <c r="B94" t="s">
        <v>686</v>
      </c>
    </row>
    <row r="95" spans="1:2" x14ac:dyDescent="0.25">
      <c r="A95" t="s">
        <v>458</v>
      </c>
      <c r="B95" t="s">
        <v>689</v>
      </c>
    </row>
    <row r="96" spans="1:2" x14ac:dyDescent="0.25">
      <c r="A96" t="s">
        <v>697</v>
      </c>
      <c r="B96" t="s">
        <v>689</v>
      </c>
    </row>
    <row r="97" spans="1:2" x14ac:dyDescent="0.25">
      <c r="A97" t="s">
        <v>698</v>
      </c>
      <c r="B97" t="s">
        <v>686</v>
      </c>
    </row>
    <row r="98" spans="1:2" x14ac:dyDescent="0.25">
      <c r="A98" t="s">
        <v>20</v>
      </c>
      <c r="B98" t="s">
        <v>699</v>
      </c>
    </row>
    <row r="99" spans="1:2" x14ac:dyDescent="0.25">
      <c r="A99" t="s">
        <v>178</v>
      </c>
      <c r="B99" t="s">
        <v>699</v>
      </c>
    </row>
    <row r="100" spans="1:2" x14ac:dyDescent="0.25">
      <c r="A100" t="s">
        <v>17</v>
      </c>
      <c r="B100" t="s">
        <v>683</v>
      </c>
    </row>
    <row r="101" spans="1:2" x14ac:dyDescent="0.25">
      <c r="A101" t="s">
        <v>175</v>
      </c>
      <c r="B101" t="s">
        <v>699</v>
      </c>
    </row>
    <row r="102" spans="1:2" x14ac:dyDescent="0.25">
      <c r="A102" t="s">
        <v>700</v>
      </c>
      <c r="B102" t="s">
        <v>680</v>
      </c>
    </row>
    <row r="103" spans="1:2" x14ac:dyDescent="0.25">
      <c r="A103" t="s">
        <v>701</v>
      </c>
      <c r="B103" t="s">
        <v>686</v>
      </c>
    </row>
    <row r="104" spans="1:2" x14ac:dyDescent="0.25">
      <c r="A104" t="s">
        <v>290</v>
      </c>
      <c r="B104" t="s">
        <v>686</v>
      </c>
    </row>
    <row r="105" spans="1:2" x14ac:dyDescent="0.25">
      <c r="A105" t="s">
        <v>139</v>
      </c>
      <c r="B105" t="s">
        <v>686</v>
      </c>
    </row>
    <row r="106" spans="1:2" x14ac:dyDescent="0.25">
      <c r="A106" t="s">
        <v>702</v>
      </c>
      <c r="B106" t="s">
        <v>686</v>
      </c>
    </row>
    <row r="107" spans="1:2" x14ac:dyDescent="0.25">
      <c r="A107" t="s">
        <v>395</v>
      </c>
      <c r="B107" t="s">
        <v>689</v>
      </c>
    </row>
    <row r="108" spans="1:2" x14ac:dyDescent="0.25">
      <c r="A108" t="s">
        <v>420</v>
      </c>
      <c r="B108" t="s">
        <v>689</v>
      </c>
    </row>
    <row r="109" spans="1:2" x14ac:dyDescent="0.25">
      <c r="A109" t="s">
        <v>422</v>
      </c>
      <c r="B109" t="s">
        <v>689</v>
      </c>
    </row>
    <row r="110" spans="1:2" x14ac:dyDescent="0.25">
      <c r="A110" t="s">
        <v>406</v>
      </c>
      <c r="B110" t="s">
        <v>689</v>
      </c>
    </row>
    <row r="111" spans="1:2" x14ac:dyDescent="0.25">
      <c r="A111" t="s">
        <v>361</v>
      </c>
      <c r="B111" t="s">
        <v>689</v>
      </c>
    </row>
    <row r="112" spans="1:2" x14ac:dyDescent="0.25">
      <c r="A112" t="s">
        <v>703</v>
      </c>
      <c r="B112" t="s">
        <v>689</v>
      </c>
    </row>
    <row r="113" spans="1:2" x14ac:dyDescent="0.25">
      <c r="A113" t="s">
        <v>408</v>
      </c>
      <c r="B113" t="s">
        <v>689</v>
      </c>
    </row>
    <row r="114" spans="1:2" x14ac:dyDescent="0.25">
      <c r="A114" t="s">
        <v>416</v>
      </c>
      <c r="B114" t="s">
        <v>689</v>
      </c>
    </row>
    <row r="115" spans="1:2" x14ac:dyDescent="0.25">
      <c r="A115" t="s">
        <v>402</v>
      </c>
      <c r="B115" t="s">
        <v>689</v>
      </c>
    </row>
    <row r="116" spans="1:2" x14ac:dyDescent="0.25">
      <c r="A116" t="s">
        <v>391</v>
      </c>
      <c r="B116" t="s">
        <v>689</v>
      </c>
    </row>
    <row r="117" spans="1:2" x14ac:dyDescent="0.25">
      <c r="A117" t="s">
        <v>398</v>
      </c>
      <c r="B117" t="s">
        <v>689</v>
      </c>
    </row>
    <row r="118" spans="1:2" x14ac:dyDescent="0.25">
      <c r="A118" t="s">
        <v>383</v>
      </c>
      <c r="B118" t="s">
        <v>689</v>
      </c>
    </row>
    <row r="119" spans="1:2" x14ac:dyDescent="0.25">
      <c r="A119" t="s">
        <v>445</v>
      </c>
      <c r="B119" t="s">
        <v>689</v>
      </c>
    </row>
    <row r="120" spans="1:2" x14ac:dyDescent="0.25">
      <c r="A120" t="s">
        <v>393</v>
      </c>
      <c r="B120" t="s">
        <v>689</v>
      </c>
    </row>
    <row r="121" spans="1:2" x14ac:dyDescent="0.25">
      <c r="A121" t="s">
        <v>466</v>
      </c>
      <c r="B121" t="s">
        <v>689</v>
      </c>
    </row>
    <row r="122" spans="1:2" x14ac:dyDescent="0.25">
      <c r="A122" t="s">
        <v>400</v>
      </c>
      <c r="B122" t="s">
        <v>689</v>
      </c>
    </row>
    <row r="123" spans="1:2" x14ac:dyDescent="0.25">
      <c r="A123" t="s">
        <v>365</v>
      </c>
      <c r="B123" t="s">
        <v>689</v>
      </c>
    </row>
    <row r="124" spans="1:2" x14ac:dyDescent="0.25">
      <c r="A124" t="s">
        <v>355</v>
      </c>
      <c r="B124" t="s">
        <v>689</v>
      </c>
    </row>
    <row r="125" spans="1:2" x14ac:dyDescent="0.25">
      <c r="A125" t="s">
        <v>377</v>
      </c>
      <c r="B125" t="s">
        <v>689</v>
      </c>
    </row>
    <row r="126" spans="1:2" x14ac:dyDescent="0.25">
      <c r="A126" t="s">
        <v>387</v>
      </c>
      <c r="B126" t="s">
        <v>689</v>
      </c>
    </row>
    <row r="127" spans="1:2" x14ac:dyDescent="0.25">
      <c r="A127" t="s">
        <v>704</v>
      </c>
      <c r="B127" t="s">
        <v>682</v>
      </c>
    </row>
    <row r="128" spans="1:2" x14ac:dyDescent="0.25">
      <c r="A128" t="s">
        <v>363</v>
      </c>
      <c r="B128" t="s">
        <v>689</v>
      </c>
    </row>
    <row r="129" spans="1:2" x14ac:dyDescent="0.25">
      <c r="A129" t="s">
        <v>381</v>
      </c>
      <c r="B129" t="s">
        <v>689</v>
      </c>
    </row>
    <row r="130" spans="1:2" x14ac:dyDescent="0.25">
      <c r="A130" t="s">
        <v>369</v>
      </c>
      <c r="B130" t="s">
        <v>689</v>
      </c>
    </row>
    <row r="131" spans="1:2" x14ac:dyDescent="0.25">
      <c r="A131" t="s">
        <v>385</v>
      </c>
      <c r="B131" t="s">
        <v>689</v>
      </c>
    </row>
    <row r="132" spans="1:2" x14ac:dyDescent="0.25">
      <c r="A132" t="s">
        <v>180</v>
      </c>
      <c r="B132" t="s">
        <v>689</v>
      </c>
    </row>
    <row r="133" spans="1:2" x14ac:dyDescent="0.25">
      <c r="A133" t="s">
        <v>373</v>
      </c>
      <c r="B133" t="s">
        <v>689</v>
      </c>
    </row>
    <row r="134" spans="1:2" x14ac:dyDescent="0.25">
      <c r="A134" t="s">
        <v>705</v>
      </c>
      <c r="B134" t="s">
        <v>689</v>
      </c>
    </row>
    <row r="135" spans="1:2" x14ac:dyDescent="0.25">
      <c r="A135" t="s">
        <v>342</v>
      </c>
      <c r="B135" t="s">
        <v>689</v>
      </c>
    </row>
    <row r="136" spans="1:2" x14ac:dyDescent="0.25">
      <c r="A136" t="s">
        <v>375</v>
      </c>
      <c r="B136" t="s">
        <v>689</v>
      </c>
    </row>
    <row r="137" spans="1:2" x14ac:dyDescent="0.25">
      <c r="A137" t="s">
        <v>367</v>
      </c>
      <c r="B137" t="s">
        <v>699</v>
      </c>
    </row>
    <row r="138" spans="1:2" x14ac:dyDescent="0.25">
      <c r="A138" t="s">
        <v>359</v>
      </c>
      <c r="B138" t="s">
        <v>689</v>
      </c>
    </row>
    <row r="139" spans="1:2" x14ac:dyDescent="0.25">
      <c r="A139" t="s">
        <v>357</v>
      </c>
      <c r="B139" t="s">
        <v>689</v>
      </c>
    </row>
    <row r="140" spans="1:2" x14ac:dyDescent="0.25">
      <c r="A140" t="s">
        <v>352</v>
      </c>
      <c r="B140" t="s">
        <v>685</v>
      </c>
    </row>
    <row r="141" spans="1:2" x14ac:dyDescent="0.25">
      <c r="A141" t="s">
        <v>6</v>
      </c>
      <c r="B141" t="s">
        <v>689</v>
      </c>
    </row>
    <row r="142" spans="1:2" x14ac:dyDescent="0.25">
      <c r="A142" t="s">
        <v>706</v>
      </c>
      <c r="B142" t="s">
        <v>689</v>
      </c>
    </row>
    <row r="143" spans="1:2" x14ac:dyDescent="0.25">
      <c r="A143" t="s">
        <v>344</v>
      </c>
      <c r="B143" t="s">
        <v>689</v>
      </c>
    </row>
    <row r="144" spans="1:2" x14ac:dyDescent="0.25">
      <c r="A144" t="s">
        <v>340</v>
      </c>
      <c r="B144" t="s">
        <v>689</v>
      </c>
    </row>
    <row r="145" spans="1:2" x14ac:dyDescent="0.25">
      <c r="A145" t="s">
        <v>338</v>
      </c>
      <c r="B145" t="s">
        <v>689</v>
      </c>
    </row>
    <row r="146" spans="1:2" x14ac:dyDescent="0.25">
      <c r="A146" t="s">
        <v>350</v>
      </c>
      <c r="B146" t="s">
        <v>689</v>
      </c>
    </row>
    <row r="147" spans="1:2" x14ac:dyDescent="0.25">
      <c r="A147" t="s">
        <v>336</v>
      </c>
      <c r="B147" t="s">
        <v>689</v>
      </c>
    </row>
    <row r="148" spans="1:2" x14ac:dyDescent="0.25">
      <c r="A148" t="s">
        <v>333</v>
      </c>
      <c r="B148" t="s">
        <v>689</v>
      </c>
    </row>
    <row r="149" spans="1:2" x14ac:dyDescent="0.25">
      <c r="A149" t="s">
        <v>625</v>
      </c>
      <c r="B149" t="s">
        <v>689</v>
      </c>
    </row>
    <row r="150" spans="1:2" x14ac:dyDescent="0.25">
      <c r="A150" t="s">
        <v>331</v>
      </c>
      <c r="B150" t="s">
        <v>689</v>
      </c>
    </row>
    <row r="151" spans="1:2" x14ac:dyDescent="0.25">
      <c r="A151" t="s">
        <v>326</v>
      </c>
      <c r="B151" t="s">
        <v>689</v>
      </c>
    </row>
    <row r="152" spans="1:2" x14ac:dyDescent="0.25">
      <c r="A152" t="s">
        <v>346</v>
      </c>
      <c r="B152" t="s">
        <v>689</v>
      </c>
    </row>
    <row r="153" spans="1:2" x14ac:dyDescent="0.25">
      <c r="A153" t="s">
        <v>427</v>
      </c>
      <c r="B153" t="s">
        <v>686</v>
      </c>
    </row>
    <row r="154" spans="1:2" x14ac:dyDescent="0.25">
      <c r="A154" t="s">
        <v>424</v>
      </c>
      <c r="B154" t="s">
        <v>682</v>
      </c>
    </row>
    <row r="155" spans="1:2" x14ac:dyDescent="0.25">
      <c r="A155" t="s">
        <v>480</v>
      </c>
      <c r="B155" t="s">
        <v>689</v>
      </c>
    </row>
    <row r="156" spans="1:2" x14ac:dyDescent="0.25">
      <c r="A156" t="s">
        <v>707</v>
      </c>
      <c r="B156" t="s">
        <v>682</v>
      </c>
    </row>
    <row r="157" spans="1:2" x14ac:dyDescent="0.25">
      <c r="A157" t="s">
        <v>708</v>
      </c>
      <c r="B157" t="s">
        <v>680</v>
      </c>
    </row>
    <row r="158" spans="1:2" x14ac:dyDescent="0.25">
      <c r="A158" t="s">
        <v>709</v>
      </c>
      <c r="B158" t="s">
        <v>689</v>
      </c>
    </row>
    <row r="159" spans="1:2" x14ac:dyDescent="0.25">
      <c r="A159" t="s">
        <v>710</v>
      </c>
      <c r="B159" t="s">
        <v>682</v>
      </c>
    </row>
    <row r="160" spans="1:2" x14ac:dyDescent="0.25">
      <c r="A160" t="s">
        <v>513</v>
      </c>
      <c r="B160" t="s">
        <v>680</v>
      </c>
    </row>
    <row r="161" spans="1:2" x14ac:dyDescent="0.25">
      <c r="A161" t="s">
        <v>521</v>
      </c>
      <c r="B161" t="s">
        <v>689</v>
      </c>
    </row>
    <row r="162" spans="1:2" x14ac:dyDescent="0.25">
      <c r="A162" t="s">
        <v>711</v>
      </c>
      <c r="B162" t="s">
        <v>689</v>
      </c>
    </row>
    <row r="163" spans="1:2" x14ac:dyDescent="0.25">
      <c r="A163" t="s">
        <v>502</v>
      </c>
      <c r="B163" t="s">
        <v>689</v>
      </c>
    </row>
    <row r="164" spans="1:2" x14ac:dyDescent="0.25">
      <c r="A164" t="s">
        <v>508</v>
      </c>
      <c r="B164" t="s">
        <v>689</v>
      </c>
    </row>
    <row r="165" spans="1:2" x14ac:dyDescent="0.25">
      <c r="A165" t="s">
        <v>506</v>
      </c>
      <c r="B165" t="s">
        <v>680</v>
      </c>
    </row>
    <row r="166" spans="1:2" x14ac:dyDescent="0.25">
      <c r="A166" t="s">
        <v>496</v>
      </c>
      <c r="B166" t="s">
        <v>689</v>
      </c>
    </row>
    <row r="167" spans="1:2" x14ac:dyDescent="0.25">
      <c r="A167" t="s">
        <v>517</v>
      </c>
      <c r="B167" t="s">
        <v>689</v>
      </c>
    </row>
    <row r="168" spans="1:2" x14ac:dyDescent="0.25">
      <c r="A168" t="s">
        <v>712</v>
      </c>
      <c r="B168" t="s">
        <v>689</v>
      </c>
    </row>
    <row r="169" spans="1:2" x14ac:dyDescent="0.25">
      <c r="A169" t="s">
        <v>494</v>
      </c>
      <c r="B169" t="s">
        <v>680</v>
      </c>
    </row>
    <row r="170" spans="1:2" x14ac:dyDescent="0.25">
      <c r="A170" t="s">
        <v>500</v>
      </c>
      <c r="B170" t="s">
        <v>689</v>
      </c>
    </row>
    <row r="171" spans="1:2" x14ac:dyDescent="0.25">
      <c r="A171" t="s">
        <v>454</v>
      </c>
      <c r="B171" t="s">
        <v>689</v>
      </c>
    </row>
    <row r="172" spans="1:2" x14ac:dyDescent="0.25">
      <c r="A172" t="s">
        <v>490</v>
      </c>
      <c r="B172" t="s">
        <v>689</v>
      </c>
    </row>
    <row r="173" spans="1:2" x14ac:dyDescent="0.25">
      <c r="A173" t="s">
        <v>460</v>
      </c>
      <c r="B173" t="s">
        <v>689</v>
      </c>
    </row>
    <row r="174" spans="1:2" x14ac:dyDescent="0.25">
      <c r="A174" t="s">
        <v>713</v>
      </c>
      <c r="B174" t="s">
        <v>689</v>
      </c>
    </row>
    <row r="175" spans="1:2" x14ac:dyDescent="0.25">
      <c r="A175" t="s">
        <v>474</v>
      </c>
      <c r="B175" t="s">
        <v>689</v>
      </c>
    </row>
    <row r="176" spans="1:2" x14ac:dyDescent="0.25">
      <c r="A176" t="s">
        <v>412</v>
      </c>
      <c r="B176" t="s">
        <v>689</v>
      </c>
    </row>
    <row r="177" spans="1:2" x14ac:dyDescent="0.25">
      <c r="A177" t="s">
        <v>464</v>
      </c>
      <c r="B177" t="s">
        <v>686</v>
      </c>
    </row>
    <row r="178" spans="1:2" x14ac:dyDescent="0.25">
      <c r="A178" t="s">
        <v>714</v>
      </c>
      <c r="B178" t="s">
        <v>689</v>
      </c>
    </row>
    <row r="179" spans="1:2" x14ac:dyDescent="0.25">
      <c r="A179" t="s">
        <v>462</v>
      </c>
      <c r="B179" t="s">
        <v>689</v>
      </c>
    </row>
    <row r="180" spans="1:2" x14ac:dyDescent="0.25">
      <c r="A180" t="s">
        <v>456</v>
      </c>
      <c r="B180" t="s">
        <v>689</v>
      </c>
    </row>
    <row r="181" spans="1:2" x14ac:dyDescent="0.25">
      <c r="A181" t="s">
        <v>404</v>
      </c>
      <c r="B181" t="s">
        <v>689</v>
      </c>
    </row>
    <row r="182" spans="1:2" x14ac:dyDescent="0.25">
      <c r="A182" t="s">
        <v>519</v>
      </c>
      <c r="B182" t="s">
        <v>689</v>
      </c>
    </row>
    <row r="183" spans="1:2" x14ac:dyDescent="0.25">
      <c r="A183" t="s">
        <v>453</v>
      </c>
      <c r="B183" t="s">
        <v>686</v>
      </c>
    </row>
    <row r="184" spans="1:2" x14ac:dyDescent="0.25">
      <c r="A184" t="s">
        <v>435</v>
      </c>
      <c r="B184" t="s">
        <v>689</v>
      </c>
    </row>
    <row r="185" spans="1:2" x14ac:dyDescent="0.25">
      <c r="A185" t="s">
        <v>389</v>
      </c>
      <c r="B185" t="s">
        <v>689</v>
      </c>
    </row>
    <row r="186" spans="1:2" x14ac:dyDescent="0.25">
      <c r="A186" t="s">
        <v>715</v>
      </c>
      <c r="B186" t="s">
        <v>689</v>
      </c>
    </row>
    <row r="187" spans="1:2" x14ac:dyDescent="0.25">
      <c r="A187" t="s">
        <v>441</v>
      </c>
      <c r="B187" t="s">
        <v>699</v>
      </c>
    </row>
    <row r="188" spans="1:2" x14ac:dyDescent="0.25">
      <c r="A188" t="s">
        <v>371</v>
      </c>
      <c r="B188" t="s">
        <v>689</v>
      </c>
    </row>
    <row r="189" spans="1:2" x14ac:dyDescent="0.25">
      <c r="A189" t="s">
        <v>443</v>
      </c>
      <c r="B189" t="s">
        <v>686</v>
      </c>
    </row>
    <row r="190" spans="1:2" x14ac:dyDescent="0.25">
      <c r="A190" t="s">
        <v>329</v>
      </c>
      <c r="B190" t="s">
        <v>680</v>
      </c>
    </row>
    <row r="191" spans="1:2" x14ac:dyDescent="0.25">
      <c r="A191" t="s">
        <v>437</v>
      </c>
      <c r="B191" t="s">
        <v>689</v>
      </c>
    </row>
    <row r="192" spans="1:2" x14ac:dyDescent="0.25">
      <c r="A192" t="s">
        <v>439</v>
      </c>
      <c r="B192" t="s">
        <v>689</v>
      </c>
    </row>
    <row r="193" spans="1:2" x14ac:dyDescent="0.25">
      <c r="A193" t="s">
        <v>716</v>
      </c>
      <c r="B193" t="s">
        <v>689</v>
      </c>
    </row>
    <row r="194" spans="1:2" x14ac:dyDescent="0.25">
      <c r="A194" t="s">
        <v>433</v>
      </c>
      <c r="B194" t="s">
        <v>689</v>
      </c>
    </row>
    <row r="195" spans="1:2" x14ac:dyDescent="0.25">
      <c r="A195" t="s">
        <v>13</v>
      </c>
      <c r="B195" t="s">
        <v>699</v>
      </c>
    </row>
    <row r="196" spans="1:2" x14ac:dyDescent="0.25">
      <c r="A196" t="s">
        <v>429</v>
      </c>
      <c r="B196" t="s">
        <v>689</v>
      </c>
    </row>
    <row r="197" spans="1:2" x14ac:dyDescent="0.25">
      <c r="A197" t="s">
        <v>527</v>
      </c>
      <c r="B197" t="s">
        <v>680</v>
      </c>
    </row>
    <row r="198" spans="1:2" x14ac:dyDescent="0.25">
      <c r="A198" t="s">
        <v>288</v>
      </c>
      <c r="B198" t="s">
        <v>680</v>
      </c>
    </row>
    <row r="199" spans="1:2" x14ac:dyDescent="0.25">
      <c r="B199" t="s">
        <v>717</v>
      </c>
    </row>
    <row r="200" spans="1:2" x14ac:dyDescent="0.25">
      <c r="B200" t="s">
        <v>689</v>
      </c>
    </row>
    <row r="201" spans="1:2" x14ac:dyDescent="0.25">
      <c r="B201" t="s">
        <v>680</v>
      </c>
    </row>
    <row r="202" spans="1:2" x14ac:dyDescent="0.25">
      <c r="B202" t="s">
        <v>680</v>
      </c>
    </row>
    <row r="203" spans="1:2" x14ac:dyDescent="0.25">
      <c r="B203" t="s">
        <v>689</v>
      </c>
    </row>
    <row r="204" spans="1:2" x14ac:dyDescent="0.25">
      <c r="B204" t="s">
        <v>689</v>
      </c>
    </row>
    <row r="205" spans="1:2" x14ac:dyDescent="0.25">
      <c r="B205" t="s">
        <v>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fullrosternew</vt:lpstr>
      <vt:lpstr>fullrosterCWLrole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Beyond Boy</cp:lastModifiedBy>
  <dcterms:created xsi:type="dcterms:W3CDTF">2021-05-20T06:20:27Z</dcterms:created>
  <dcterms:modified xsi:type="dcterms:W3CDTF">2021-05-20T06:52:49Z</dcterms:modified>
</cp:coreProperties>
</file>