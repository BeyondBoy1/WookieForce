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mc:Ignorable="x15 xr xr6 xr10">
  <fileVersion appName="xl" lastEdited="7" lowestEdited="7" rupBuild="23929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beyon\Desktop\WookieForce\"/>
    </mc:Choice>
  </mc:AlternateContent>
  <xr:revisionPtr revIDLastSave="0" documentId="8_{853A468E-C016-416C-85D2-3CFC806E7429}" xr6:coauthVersionLast="46" xr6:coauthVersionMax="46" xr10:uidLastSave="{00000000-0000-0000-0000-000000000000}"/>
  <bookViews>
    <workbookView xWindow="-120" yWindow="-120" windowWidth="29040" windowHeight="16440"/>
  </bookViews>
  <sheets>
    <sheet name="fullroster" sheetId="1" r:id="rId1"/>
  </sheets>
  <calcPr calcId="0"/>
</workbook>
</file>

<file path=xl/calcChain.xml><?xml version="1.0" encoding="utf-8"?>
<calcChain xmlns="http://schemas.openxmlformats.org/spreadsheetml/2006/main">
  <c r="Q12" i="1" l="1"/>
  <c r="Q13" i="1"/>
  <c r="Q14" i="1"/>
  <c r="Q15" i="1"/>
  <c r="Q16" i="1"/>
  <c r="Q11" i="1"/>
  <c r="P12" i="1"/>
  <c r="P13" i="1"/>
  <c r="P14" i="1"/>
  <c r="P15" i="1"/>
  <c r="P16" i="1"/>
  <c r="P11" i="1"/>
  <c r="O16" i="1"/>
  <c r="O15" i="1"/>
  <c r="O14" i="1"/>
  <c r="O13" i="1"/>
  <c r="O12" i="1"/>
  <c r="O11" i="1"/>
  <c r="U9" i="1"/>
  <c r="P8" i="1"/>
  <c r="Q8" i="1"/>
  <c r="R8" i="1"/>
  <c r="S8" i="1"/>
  <c r="T8" i="1"/>
  <c r="U8" i="1"/>
  <c r="V8" i="1"/>
  <c r="W8" i="1"/>
  <c r="X8" i="1"/>
  <c r="Y8" i="1"/>
  <c r="Z8" i="1"/>
  <c r="O8" i="1"/>
  <c r="Z7" i="1"/>
  <c r="Y7" i="1"/>
  <c r="X7" i="1"/>
  <c r="W7" i="1"/>
  <c r="V7" i="1"/>
  <c r="U7" i="1"/>
  <c r="T7" i="1"/>
  <c r="S7" i="1"/>
  <c r="R7" i="1"/>
  <c r="Q7" i="1"/>
  <c r="P7" i="1"/>
  <c r="O7" i="1"/>
  <c r="Z6" i="1"/>
  <c r="Y6" i="1"/>
  <c r="X6" i="1"/>
  <c r="W6" i="1"/>
  <c r="V6" i="1"/>
  <c r="U6" i="1"/>
  <c r="T6" i="1"/>
  <c r="S6" i="1"/>
  <c r="R6" i="1"/>
  <c r="Q6" i="1"/>
  <c r="P6" i="1"/>
  <c r="O6" i="1"/>
  <c r="Z5" i="1"/>
  <c r="Y5" i="1"/>
  <c r="X5" i="1"/>
  <c r="W5" i="1"/>
  <c r="V5" i="1"/>
  <c r="U5" i="1"/>
  <c r="T5" i="1"/>
  <c r="S5" i="1"/>
  <c r="R5" i="1"/>
  <c r="Q5" i="1"/>
  <c r="P5" i="1"/>
  <c r="O5" i="1"/>
  <c r="Z4" i="1"/>
  <c r="Y4" i="1"/>
  <c r="X4" i="1"/>
  <c r="W4" i="1"/>
  <c r="V4" i="1"/>
  <c r="U4" i="1"/>
  <c r="T4" i="1"/>
  <c r="S4" i="1"/>
  <c r="R4" i="1"/>
  <c r="Q4" i="1"/>
  <c r="P4" i="1"/>
  <c r="O4" i="1"/>
  <c r="Z3" i="1"/>
  <c r="Y3" i="1"/>
  <c r="W3" i="1"/>
  <c r="X3" i="1"/>
  <c r="V3" i="1"/>
  <c r="U3" i="1"/>
  <c r="T3" i="1"/>
  <c r="S3" i="1"/>
  <c r="R3" i="1"/>
  <c r="Q3" i="1"/>
  <c r="P3" i="1"/>
  <c r="O3" i="1"/>
</calcChain>
</file>

<file path=xl/sharedStrings.xml><?xml version="1.0" encoding="utf-8"?>
<sst xmlns="http://schemas.openxmlformats.org/spreadsheetml/2006/main" count="1543" uniqueCount="678">
  <si>
    <t>PlayerTag</t>
  </si>
  <si>
    <t>PlayerName</t>
  </si>
  <si>
    <t>Clan Role</t>
  </si>
  <si>
    <t>TownHall</t>
  </si>
  <si>
    <t>PlayerLeague</t>
  </si>
  <si>
    <t>Clan</t>
  </si>
  <si>
    <t>#JR8UQ2GY</t>
  </si>
  <si>
    <t>NotoriousBRFITE</t>
  </si>
  <si>
    <t>Member</t>
  </si>
  <si>
    <t>Titan League II</t>
  </si>
  <si>
    <t>Legendary Monks</t>
  </si>
  <si>
    <t>#PGJRLJG2C</t>
  </si>
  <si>
    <t>Pixalâ„¢ï¸</t>
  </si>
  <si>
    <t>Champion League I</t>
  </si>
  <si>
    <t>#92RVQGR0C</t>
  </si>
  <si>
    <t>StringFire</t>
  </si>
  <si>
    <t>Champion League II</t>
  </si>
  <si>
    <t>#98P0GPCQC</t>
  </si>
  <si>
    <t>Baby Dragon</t>
  </si>
  <si>
    <t>Co-Leader</t>
  </si>
  <si>
    <t>Champion League III</t>
  </si>
  <si>
    <t>#82RPPRU9J</t>
  </si>
  <si>
    <t>joyel</t>
  </si>
  <si>
    <t>Elder</t>
  </si>
  <si>
    <t>Master League I</t>
  </si>
  <si>
    <t>#22Q8Y2CU9</t>
  </si>
  <si>
    <t>Willy</t>
  </si>
  <si>
    <t>Crystal League II</t>
  </si>
  <si>
    <t>#YCQCP0U02</t>
  </si>
  <si>
    <t>Mnoon</t>
  </si>
  <si>
    <t>Crystal League III</t>
  </si>
  <si>
    <t>#8PP29PLC8</t>
  </si>
  <si>
    <t>Onahole</t>
  </si>
  <si>
    <t>#9C2QLPYLC</t>
  </si>
  <si>
    <t>Joyel!!</t>
  </si>
  <si>
    <t>#LVQ0C20U2</t>
  </si>
  <si>
    <t>Bot ryze</t>
  </si>
  <si>
    <t>#LLC20U2PG</t>
  </si>
  <si>
    <t>dk</t>
  </si>
  <si>
    <t>Gold League I</t>
  </si>
  <si>
    <t>#2C9LR9P2Q</t>
  </si>
  <si>
    <t>Kiwi</t>
  </si>
  <si>
    <t>#2JQGJ8LU9</t>
  </si>
  <si>
    <t>Trap Master</t>
  </si>
  <si>
    <t>#Q0PYP8U0V</t>
  </si>
  <si>
    <t>Beyond</t>
  </si>
  <si>
    <t>Gold League II</t>
  </si>
  <si>
    <t>#Q08UPC0G</t>
  </si>
  <si>
    <t>curtickle</t>
  </si>
  <si>
    <t>#Y8QUY2LLQ</t>
  </si>
  <si>
    <t>marbear</t>
  </si>
  <si>
    <t>#Y9LCJP8LQ</t>
  </si>
  <si>
    <t>Gutti Guy 2</t>
  </si>
  <si>
    <t>Unranked</t>
  </si>
  <si>
    <t>#Q89UJYRV0</t>
  </si>
  <si>
    <t>DarkLight</t>
  </si>
  <si>
    <t>Gold League III</t>
  </si>
  <si>
    <t>#LC02LYCL8</t>
  </si>
  <si>
    <t>Burns</t>
  </si>
  <si>
    <t>#LJCPUJYYC</t>
  </si>
  <si>
    <t>Murple</t>
  </si>
  <si>
    <t>#LVQQG9JJV</t>
  </si>
  <si>
    <t>smooth-ie</t>
  </si>
  <si>
    <t>#YRJ8YUVLU</t>
  </si>
  <si>
    <t>verbxtiim</t>
  </si>
  <si>
    <t>#LJVPQJCPV</t>
  </si>
  <si>
    <t>Sung Jin-Woo</t>
  </si>
  <si>
    <t>#Q9CP8QJJR</t>
  </si>
  <si>
    <t>Kruptos</t>
  </si>
  <si>
    <t>#L202YPUR8</t>
  </si>
  <si>
    <t>OGclashplayer</t>
  </si>
  <si>
    <t>#QY28G89RP</t>
  </si>
  <si>
    <t>verbadxmb</t>
  </si>
  <si>
    <t>Silver League I</t>
  </si>
  <si>
    <t>#LUUYL909Y</t>
  </si>
  <si>
    <t>PENCIL</t>
  </si>
  <si>
    <t>#LQCUQVPCL</t>
  </si>
  <si>
    <t>Diesel.905</t>
  </si>
  <si>
    <t>#LVY22R28U</t>
  </si>
  <si>
    <t>KobraDangerKing</t>
  </si>
  <si>
    <t>#YCPJCLV82</t>
  </si>
  <si>
    <t>Scarface</t>
  </si>
  <si>
    <t>#Q2828PRLG</t>
  </si>
  <si>
    <t>Sprinter</t>
  </si>
  <si>
    <t>#LYR9JGUYQ</t>
  </si>
  <si>
    <t>iopo</t>
  </si>
  <si>
    <t>Silver League II</t>
  </si>
  <si>
    <t>#Y0GLU0G9Y</t>
  </si>
  <si>
    <t>G.O.L.D.</t>
  </si>
  <si>
    <t>#QYU0RRGJL</t>
  </si>
  <si>
    <t>laruee47</t>
  </si>
  <si>
    <t>#Y9CP0YPC8</t>
  </si>
  <si>
    <t>marbabe</t>
  </si>
  <si>
    <t>#P08LRYVYJ</t>
  </si>
  <si>
    <t>Chewi â­â­â­â­â­</t>
  </si>
  <si>
    <t>Leader</t>
  </si>
  <si>
    <t>#Y02C9UUGQ</t>
  </si>
  <si>
    <t>âš¡ï¸Shockwaveâš¡ï¸</t>
  </si>
  <si>
    <t>#Q09J8YQRQ</t>
  </si>
  <si>
    <t>darth marmar</t>
  </si>
  <si>
    <t>#YRUR8VUL2</t>
  </si>
  <si>
    <t>Lil Willy</t>
  </si>
  <si>
    <t>#LCQYULLVR</t>
  </si>
  <si>
    <t>Baby Dream</t>
  </si>
  <si>
    <t>Silver League III</t>
  </si>
  <si>
    <t>#PVVP028R8</t>
  </si>
  <si>
    <t>Come-Stayin</t>
  </si>
  <si>
    <t>#LGPV08RLJ</t>
  </si>
  <si>
    <t>OUTTVT1ME</t>
  </si>
  <si>
    <t>#LVJ0LPCU9</t>
  </si>
  <si>
    <t>âš”ï¸FC Warriorâš”ï¸</t>
  </si>
  <si>
    <t>#PCQVY2RUJ</t>
  </si>
  <si>
    <t>Elixir</t>
  </si>
  <si>
    <t>#P8UGUPGGJ</t>
  </si>
  <si>
    <t>AxeDon</t>
  </si>
  <si>
    <t>SN JAIN</t>
  </si>
  <si>
    <t>#2RLGUU9RY</t>
  </si>
  <si>
    <t>LeGend NiAziiâ¤</t>
  </si>
  <si>
    <t>Master League II</t>
  </si>
  <si>
    <t>Brute Force</t>
  </si>
  <si>
    <t>#P88G8UJ8J</t>
  </si>
  <si>
    <t>RushDon</t>
  </si>
  <si>
    <t>#VU0QPY8</t>
  </si>
  <si>
    <t>Zedsaz</t>
  </si>
  <si>
    <t>PBfPN</t>
  </si>
  <si>
    <t>#QP00RQV0</t>
  </si>
  <si>
    <t>Pixal</t>
  </si>
  <si>
    <t>#J909RC9P</t>
  </si>
  <si>
    <t>mini-Notorious</t>
  </si>
  <si>
    <t>#C80C8UUC</t>
  </si>
  <si>
    <t>clan warrior 17</t>
  </si>
  <si>
    <t>#LUY90RY09</t>
  </si>
  <si>
    <t>JimJam</t>
  </si>
  <si>
    <t>#2JRQ2LGLC</t>
  </si>
  <si>
    <t>Bella</t>
  </si>
  <si>
    <t>#2P89QVU8</t>
  </si>
  <si>
    <t>Shilkins</t>
  </si>
  <si>
    <t>#YRPQYYGCJ</t>
  </si>
  <si>
    <t>Tacos</t>
  </si>
  <si>
    <t>#L2VVUJ8JC</t>
  </si>
  <si>
    <t>SyZyGy</t>
  </si>
  <si>
    <t>#LUCYLPLLG</t>
  </si>
  <si>
    <t>Darth Leia</t>
  </si>
  <si>
    <t>#9Y999U0CU</t>
  </si>
  <si>
    <t>chewii</t>
  </si>
  <si>
    <t>Wookies</t>
  </si>
  <si>
    <t>#280QYU8Y</t>
  </si>
  <si>
    <t>Logan</t>
  </si>
  <si>
    <t>Mini Matter</t>
  </si>
  <si>
    <t>#LQ0PGV0LJ</t>
  </si>
  <si>
    <t>Wet Nightmare</t>
  </si>
  <si>
    <t>#L2RCPVJV</t>
  </si>
  <si>
    <t>Optimus</t>
  </si>
  <si>
    <t>#PUYCRJC</t>
  </si>
  <si>
    <t>mini string</t>
  </si>
  <si>
    <t>Master League III</t>
  </si>
  <si>
    <t>#QPYRLQVC9</t>
  </si>
  <si>
    <t>joker face</t>
  </si>
  <si>
    <t>#PRVV2GV80</t>
  </si>
  <si>
    <t>FlipDon</t>
  </si>
  <si>
    <t>#Q00VVVL9U</t>
  </si>
  <si>
    <t>Kinoko</t>
  </si>
  <si>
    <t>#QP0R2YULL</t>
  </si>
  <si>
    <t>StonyGhost</t>
  </si>
  <si>
    <t>#2QVV8YC2P</t>
  </si>
  <si>
    <t>Anomaly</t>
  </si>
  <si>
    <t>#Q9VGC0CQ8</t>
  </si>
  <si>
    <t>Mr. CoCo</t>
  </si>
  <si>
    <t>#LLPPPC0UR</t>
  </si>
  <si>
    <t>Gutti Guy 5</t>
  </si>
  <si>
    <t>#QP90VG0VC</t>
  </si>
  <si>
    <t>Cytosed</t>
  </si>
  <si>
    <t>#Q9PU2PJJL</t>
  </si>
  <si>
    <t>Alex The Strong</t>
  </si>
  <si>
    <t>#Q0CGY89Y2</t>
  </si>
  <si>
    <t>goblin</t>
  </si>
  <si>
    <t>#QPR9CP8PY</t>
  </si>
  <si>
    <t>Sarge Luca</t>
  </si>
  <si>
    <t>#Q90Q8UJYL</t>
  </si>
  <si>
    <t>Lord Jeff</t>
  </si>
  <si>
    <t>#8LU98GJ0L</t>
  </si>
  <si>
    <t>Match Attax</t>
  </si>
  <si>
    <t>#QPPCJ8RJ8</t>
  </si>
  <si>
    <t>Jimbooo</t>
  </si>
  <si>
    <t>Bronze League I</t>
  </si>
  <si>
    <t>#Q9P9JCVRV</t>
  </si>
  <si>
    <t>Alex The Great</t>
  </si>
  <si>
    <t>#YRCJ9L80R</t>
  </si>
  <si>
    <t>Elder's DoorMan</t>
  </si>
  <si>
    <t>#Q8GPYC9PR</t>
  </si>
  <si>
    <t>Darth Chewi</t>
  </si>
  <si>
    <t>#Q9GL90U28</t>
  </si>
  <si>
    <t>Alex The Wise</t>
  </si>
  <si>
    <t>#QP0G8V9QP</t>
  </si>
  <si>
    <t>Liliruca</t>
  </si>
  <si>
    <t>#Q2UQQPGPP</t>
  </si>
  <si>
    <t>Krakatoa</t>
  </si>
  <si>
    <t>#LCQ8JVJQ9</t>
  </si>
  <si>
    <t>Elite_Potato</t>
  </si>
  <si>
    <t>#LUPVQVLPV</t>
  </si>
  <si>
    <t>jolballing</t>
  </si>
  <si>
    <t>#Q9PC8PJYJ</t>
  </si>
  <si>
    <t>Dream v2</t>
  </si>
  <si>
    <t>#Q8GLGLV80</t>
  </si>
  <si>
    <t>beaker</t>
  </si>
  <si>
    <t>s lab</t>
  </si>
  <si>
    <t>Bronze League II</t>
  </si>
  <si>
    <t>#PV2CG0YJ8</t>
  </si>
  <si>
    <t>Monkeylette</t>
  </si>
  <si>
    <t>#QY02090U2</t>
  </si>
  <si>
    <t>edgar</t>
  </si>
  <si>
    <t>#8Q0LPUQ2V</t>
  </si>
  <si>
    <t>Act Natural</t>
  </si>
  <si>
    <t>#PYV2U22QP</t>
  </si>
  <si>
    <t>DocDon</t>
  </si>
  <si>
    <t>#Q0VG2UR9J</t>
  </si>
  <si>
    <t>PANda</t>
  </si>
  <si>
    <t>Bronze League III</t>
  </si>
  <si>
    <t>#LUCVRGUQ8</t>
  </si>
  <si>
    <t>adam</t>
  </si>
  <si>
    <t>#Q98CYPUL0</t>
  </si>
  <si>
    <t>GLadiTor</t>
  </si>
  <si>
    <t>#LVU80LJ2J</t>
  </si>
  <si>
    <t>Jumbo Snack</t>
  </si>
  <si>
    <t>#QQ9LRJ8G8</t>
  </si>
  <si>
    <t>javier camacho</t>
  </si>
  <si>
    <t>#Q9QVPL28L</t>
  </si>
  <si>
    <t>bigrojo</t>
  </si>
  <si>
    <t>#Q8CVC29LU</t>
  </si>
  <si>
    <t>Fruit Blender</t>
  </si>
  <si>
    <t>#Q2LUVJQPL</t>
  </si>
  <si>
    <t>Fruit Smoothie</t>
  </si>
  <si>
    <t>#LCCUVJYQJ</t>
  </si>
  <si>
    <t>Hox</t>
  </si>
  <si>
    <t>#Q28JPV8Y2</t>
  </si>
  <si>
    <t>Fruit Gummie</t>
  </si>
  <si>
    <t>#80RJQ8RRQ</t>
  </si>
  <si>
    <t>Liquid Gas</t>
  </si>
  <si>
    <t>#LR0Q9LJRU</t>
  </si>
  <si>
    <t>Peek a chew</t>
  </si>
  <si>
    <t>#L20CJU9C0</t>
  </si>
  <si>
    <t>Doorman SP</t>
  </si>
  <si>
    <t>#L8VJ80JP2</t>
  </si>
  <si>
    <t>Bulb a Sore</t>
  </si>
  <si>
    <t>#99Q0PLVPC</t>
  </si>
  <si>
    <t>F.I.N.E.</t>
  </si>
  <si>
    <t>Endor</t>
  </si>
  <si>
    <t>#LR0LJQ9C9</t>
  </si>
  <si>
    <t>S.T.A.R.</t>
  </si>
  <si>
    <t>#LJJLUL92L</t>
  </si>
  <si>
    <t>Xenpachi</t>
  </si>
  <si>
    <t>#YVJLYPRVG</t>
  </si>
  <si>
    <t>C.R.E.A.T.E.</t>
  </si>
  <si>
    <t>#LGVP9PP8C</t>
  </si>
  <si>
    <t>Darth Lando</t>
  </si>
  <si>
    <t>#LGRJYJGQ9</t>
  </si>
  <si>
    <t>Darth Turtle</t>
  </si>
  <si>
    <t>Mos Eisley</t>
  </si>
  <si>
    <t>#YL8LRVYVJ</t>
  </si>
  <si>
    <t>ob</t>
  </si>
  <si>
    <t>Killer_Black_Wf</t>
  </si>
  <si>
    <t>#Q8YQ0CCQ2</t>
  </si>
  <si>
    <t>Alex The Brave</t>
  </si>
  <si>
    <t>#LLURGGVP0</t>
  </si>
  <si>
    <t>MiniPix</t>
  </si>
  <si>
    <t>#LCVUGVYLU</t>
  </si>
  <si>
    <t>Darth Yoda</t>
  </si>
  <si>
    <t>#8YLCPCGYU</t>
  </si>
  <si>
    <t>ANTOR KHAN</t>
  </si>
  <si>
    <t>Golden Clan</t>
  </si>
  <si>
    <t>#PVJYRRQPR</t>
  </si>
  <si>
    <t>kitaisaboss</t>
  </si>
  <si>
    <t>#PC8L99UJQ</t>
  </si>
  <si>
    <t>Hellboy</t>
  </si>
  <si>
    <t>#LUGV8UP2C</t>
  </si>
  <si>
    <t>You</t>
  </si>
  <si>
    <t>#Q9VP298PC</t>
  </si>
  <si>
    <t>Reactive</t>
  </si>
  <si>
    <t>#PL8L99U2Q</t>
  </si>
  <si>
    <t>S.E.V.E.N</t>
  </si>
  <si>
    <t>#QPCGYPJU9</t>
  </si>
  <si>
    <t>â‚½Ð­Ð™Ð¡!Ð“</t>
  </si>
  <si>
    <t>#QYQ9GJ0U8</t>
  </si>
  <si>
    <t>Ð–!ÐŸG</t>
  </si>
  <si>
    <t>#9CY9L0RGV</t>
  </si>
  <si>
    <t>Eragon</t>
  </si>
  <si>
    <t>#LG0LRVLPJ</t>
  </si>
  <si>
    <t>MajÃ¯n Lex</t>
  </si>
  <si>
    <t>#Q2LU9RCC8</t>
  </si>
  <si>
    <t>JUMBO JUICE</t>
  </si>
  <si>
    <t>#PPCJCJ9J9</t>
  </si>
  <si>
    <t>CalDon</t>
  </si>
  <si>
    <t>#LCGRVQ92</t>
  </si>
  <si>
    <t>tomaetuhs</t>
  </si>
  <si>
    <t>Optimus Prime*</t>
  </si>
  <si>
    <t>#2LPCUCLYR</t>
  </si>
  <si>
    <t>Eric</t>
  </si>
  <si>
    <t>PETARUNG SEJATI</t>
  </si>
  <si>
    <t>#9YUP2GLCY</t>
  </si>
  <si>
    <t>Chewi</t>
  </si>
  <si>
    <t>Legend League</t>
  </si>
  <si>
    <t>Dark Matter</t>
  </si>
  <si>
    <t>#CVYC8LQV</t>
  </si>
  <si>
    <t>aid</t>
  </si>
  <si>
    <t>#2CJGPPR0P</t>
  </si>
  <si>
    <t>Aussie</t>
  </si>
  <si>
    <t>#YUP8VPGU2</t>
  </si>
  <si>
    <t>wtxmp</t>
  </si>
  <si>
    <t>Titan League I</t>
  </si>
  <si>
    <t>#VRJ9VG0R</t>
  </si>
  <si>
    <t>McNuggets</t>
  </si>
  <si>
    <t>#28JGQ9YPV</t>
  </si>
  <si>
    <t>Lexpachi</t>
  </si>
  <si>
    <t>#90VV2VVU</t>
  </si>
  <si>
    <t>janaenae</t>
  </si>
  <si>
    <t>#LUQ9989</t>
  </si>
  <si>
    <t>Alex</t>
  </si>
  <si>
    <t>#2UC829Q0R</t>
  </si>
  <si>
    <t>French Fry</t>
  </si>
  <si>
    <t>#2990QPY0</t>
  </si>
  <si>
    <t>Sug</t>
  </si>
  <si>
    <t>#8P0YU0098</t>
  </si>
  <si>
    <t>The Dude</t>
  </si>
  <si>
    <t>#9P9GR08Y</t>
  </si>
  <si>
    <t>Big Mac</t>
  </si>
  <si>
    <t>#22PR9220R</t>
  </si>
  <si>
    <t>Mebi</t>
  </si>
  <si>
    <t>Titan League III</t>
  </si>
  <si>
    <t>#8LY0RYJ28</t>
  </si>
  <si>
    <t>Aid2</t>
  </si>
  <si>
    <t>#289YCRGU2</t>
  </si>
  <si>
    <t>Revolt</t>
  </si>
  <si>
    <t>#2U2LLLQVV</t>
  </si>
  <si>
    <t>Pix</t>
  </si>
  <si>
    <t>#2JJGL8JL0</t>
  </si>
  <si>
    <t>RH Rangers</t>
  </si>
  <si>
    <t>#J00PYG2U</t>
  </si>
  <si>
    <t>McFlurry</t>
  </si>
  <si>
    <t>#JGYQV8GL</t>
  </si>
  <si>
    <t>Drago</t>
  </si>
  <si>
    <t>#P2JLJU89L</t>
  </si>
  <si>
    <t>turtle</t>
  </si>
  <si>
    <t>#8J2LGRUU</t>
  </si>
  <si>
    <t>Luca</t>
  </si>
  <si>
    <t>#PL9VLC9RP</t>
  </si>
  <si>
    <t>o0o_Jerson_o0o</t>
  </si>
  <si>
    <t>#RGVCJJUY</t>
  </si>
  <si>
    <t>Tricky</t>
  </si>
  <si>
    <t>#LGVVPPQ0C</t>
  </si>
  <si>
    <t>Max All B4 TH</t>
  </si>
  <si>
    <t>#LLYGGYJPV</t>
  </si>
  <si>
    <t>iLuvDaenerys</t>
  </si>
  <si>
    <t>#YLGP2V0YP</t>
  </si>
  <si>
    <t>FhishPearl</t>
  </si>
  <si>
    <t>#C08PVLUU</t>
  </si>
  <si>
    <t>HS McChicken</t>
  </si>
  <si>
    <t>#880R20PC</t>
  </si>
  <si>
    <t>Ossamy</t>
  </si>
  <si>
    <t>#YV2LL2R8G</t>
  </si>
  <si>
    <t>OVO_Drip Lord</t>
  </si>
  <si>
    <t>#2G9JJRVRG</t>
  </si>
  <si>
    <t>â˜ Äâ„¯aâ€ â„Œâ“»â“»â„œâ„¯aâ„˜â„¯Å—â˜ </t>
  </si>
  <si>
    <t>#LRUGQY80P</t>
  </si>
  <si>
    <t>BK1</t>
  </si>
  <si>
    <t>#GJG9RCGJ</t>
  </si>
  <si>
    <t>Liam7210</t>
  </si>
  <si>
    <t>#2YYL8LC9Q</t>
  </si>
  <si>
    <t>Gutti Guy</t>
  </si>
  <si>
    <t>#YQ2R02U2</t>
  </si>
  <si>
    <t>SPONGIYE</t>
  </si>
  <si>
    <t>Crystal League I</t>
  </si>
  <si>
    <t>#GPGCC9PG</t>
  </si>
  <si>
    <t>tank</t>
  </si>
  <si>
    <t>#LCC0QUJPG</t>
  </si>
  <si>
    <t>LÃ¸rd Lannister</t>
  </si>
  <si>
    <t>#VG0PV298</t>
  </si>
  <si>
    <t>Warlords Outcry</t>
  </si>
  <si>
    <t>#2PLJPGR0Q</t>
  </si>
  <si>
    <t>morfowt</t>
  </si>
  <si>
    <t>#LJVCYVPV9</t>
  </si>
  <si>
    <t>go easy on me</t>
  </si>
  <si>
    <t>#LQYQLGRQY</t>
  </si>
  <si>
    <t>Aurora</t>
  </si>
  <si>
    <t>#V0UQ2LC</t>
  </si>
  <si>
    <t>djdrng</t>
  </si>
  <si>
    <t>#PJCPC8280</t>
  </si>
  <si>
    <t>GAWD</t>
  </si>
  <si>
    <t>#9R9JP000V</t>
  </si>
  <si>
    <t>bibhu</t>
  </si>
  <si>
    <t>#2VYY92JGV</t>
  </si>
  <si>
    <t>dk97</t>
  </si>
  <si>
    <t>#V9LQRUJR</t>
  </si>
  <si>
    <t>Dagerson</t>
  </si>
  <si>
    <t>#2GCV29CGG</t>
  </si>
  <si>
    <t>Sandip!</t>
  </si>
  <si>
    <t>#2L9VLQL0Q</t>
  </si>
  <si>
    <t>B-Mar</t>
  </si>
  <si>
    <t>#9LLVCUY8C</t>
  </si>
  <si>
    <t>Rianto</t>
  </si>
  <si>
    <t>barudak sunda</t>
  </si>
  <si>
    <t>#PJUVP2GUC</t>
  </si>
  <si>
    <t>turtlette</t>
  </si>
  <si>
    <t>#PUCCG908Y</t>
  </si>
  <si>
    <t>Lucid</t>
  </si>
  <si>
    <t>Sheer Force</t>
  </si>
  <si>
    <t>#J9RGCLGL</t>
  </si>
  <si>
    <t>Triton</t>
  </si>
  <si>
    <t>#9PC2U8G98</t>
  </si>
  <si>
    <t>Bullet</t>
  </si>
  <si>
    <t>#20R9QGCJC</t>
  </si>
  <si>
    <t>verbatxm</t>
  </si>
  <si>
    <t>#Y9P0RUU0</t>
  </si>
  <si>
    <t>sillysilas</t>
  </si>
  <si>
    <t>#RCV08YPR</t>
  </si>
  <si>
    <t>littlesonshine</t>
  </si>
  <si>
    <t>#9R89Q2VC9</t>
  </si>
  <si>
    <t>COVID-19</t>
  </si>
  <si>
    <t>#82C9UC0U9</t>
  </si>
  <si>
    <t>Hypathios</t>
  </si>
  <si>
    <t>#2CJPGVLQ2</t>
  </si>
  <si>
    <t>Harsh (gt)25</t>
  </si>
  <si>
    <t>#YYLC2CJ20</t>
  </si>
  <si>
    <t>Kramer</t>
  </si>
  <si>
    <t>#Y8LP9VCV</t>
  </si>
  <si>
    <t>Casper 1</t>
  </si>
  <si>
    <t>#8VRRLG0LY</t>
  </si>
  <si>
    <t>Vito</t>
  </si>
  <si>
    <t>#990LG8Q9R</t>
  </si>
  <si>
    <t>#P29R0UYJP</t>
  </si>
  <si>
    <t>Grandma åŽ»</t>
  </si>
  <si>
    <t>#RYC8LYG2</t>
  </si>
  <si>
    <t>Shadvox</t>
  </si>
  <si>
    <t>#LPPQJQYJU</t>
  </si>
  <si>
    <t>qwertyuiop6</t>
  </si>
  <si>
    <t>#G099YGUG</t>
  </si>
  <si>
    <t>HomeSlicedToast</t>
  </si>
  <si>
    <t>#2G2YCU0P9</t>
  </si>
  <si>
    <t>Karuko</t>
  </si>
  <si>
    <t>#QGCLV2J0</t>
  </si>
  <si>
    <t>marleigh</t>
  </si>
  <si>
    <t>#2VR92U9UP</t>
  </si>
  <si>
    <t>Saransh</t>
  </si>
  <si>
    <t>#2VUUV2VJ2</t>
  </si>
  <si>
    <t>Ed</t>
  </si>
  <si>
    <t>#PGPJV9VCJ</t>
  </si>
  <si>
    <t>Deer</t>
  </si>
  <si>
    <t>#2U0GYYRRQ</t>
  </si>
  <si>
    <t>Â«N00BÂ»</t>
  </si>
  <si>
    <t>#LJ92JJ8Q</t>
  </si>
  <si>
    <t>ZARD</t>
  </si>
  <si>
    <t>#PGY0Q9Q2L</t>
  </si>
  <si>
    <t>THUNDERPULSE360</t>
  </si>
  <si>
    <t>#P8UUCPR8U</t>
  </si>
  <si>
    <t>Parth</t>
  </si>
  <si>
    <t>#LVY9R20CR</t>
  </si>
  <si>
    <t>Dry Dream</t>
  </si>
  <si>
    <t>#UGYUR2V9</t>
  </si>
  <si>
    <t>THE DARK VENOM</t>
  </si>
  <si>
    <t>#Y9V8LUCLQ</t>
  </si>
  <si>
    <t>Sloth</t>
  </si>
  <si>
    <t>#9PVQ9RJJG</t>
  </si>
  <si>
    <t>Salim</t>
  </si>
  <si>
    <t>#YLG82C9Y2</t>
  </si>
  <si>
    <t>SLAY DOG</t>
  </si>
  <si>
    <t>#2GQ22RCCG</t>
  </si>
  <si>
    <t>Hero</t>
  </si>
  <si>
    <t>#QP2LUC009</t>
  </si>
  <si>
    <t>Designerpog</t>
  </si>
  <si>
    <t>#292LQVGP8</t>
  </si>
  <si>
    <t>SkyNet</t>
  </si>
  <si>
    <t>#Q9GPQ08Y8</t>
  </si>
  <si>
    <t>luvly</t>
  </si>
  <si>
    <t>#L0JV0LQR0</t>
  </si>
  <si>
    <t>MY5T3RY5M4RT13</t>
  </si>
  <si>
    <t>#LC2Q8UPGP</t>
  </si>
  <si>
    <t>Anubis</t>
  </si>
  <si>
    <t>#LV9CQQUR9</t>
  </si>
  <si>
    <t>FredTime</t>
  </si>
  <si>
    <t>#Q0L0VY0PQ</t>
  </si>
  <si>
    <t>Kismet_27</t>
  </si>
  <si>
    <t>#QU29PUQ8</t>
  </si>
  <si>
    <t>Pork_Adobo</t>
  </si>
  <si>
    <t>#LCJ088C2</t>
  </si>
  <si>
    <t>#2LQ9Y8CUR</t>
  </si>
  <si>
    <t>kingTzilla</t>
  </si>
  <si>
    <t>#Q2V2QPQ0P</t>
  </si>
  <si>
    <t>Fisk</t>
  </si>
  <si>
    <t>#29Q8Y200G</t>
  </si>
  <si>
    <t>Pixalite</t>
  </si>
  <si>
    <t>#YV9P9GC0P</t>
  </si>
  <si>
    <t>/AaRoN\</t>
  </si>
  <si>
    <t>#9GRLJC9UJ</t>
  </si>
  <si>
    <t>ChewDon</t>
  </si>
  <si>
    <t>#JCYYY9VY</t>
  </si>
  <si>
    <t>Blue</t>
  </si>
  <si>
    <t>#LQ2P9VU88</t>
  </si>
  <si>
    <t>Theo</t>
  </si>
  <si>
    <t>#Q2RUCY88L</t>
  </si>
  <si>
    <t>Ice Golem</t>
  </si>
  <si>
    <t>#2CYVR82QQ</t>
  </si>
  <si>
    <t>á´¾á´¿á´¼ã‚·MoÐ½á´…Îºá´€Î¹Ò“</t>
  </si>
  <si>
    <t>#82GLJC8YQ</t>
  </si>
  <si>
    <t>Left Pix</t>
  </si>
  <si>
    <t>UnitedAsOne</t>
  </si>
  <si>
    <t>#LLP0URLGU</t>
  </si>
  <si>
    <t>WMcNasty</t>
  </si>
  <si>
    <t>MANUBO BOYS</t>
  </si>
  <si>
    <t>#YJ0P0CVUR</t>
  </si>
  <si>
    <t>Super Chicken</t>
  </si>
  <si>
    <t>#YC2VRQYV</t>
  </si>
  <si>
    <t>D.X. generation</t>
  </si>
  <si>
    <t>#PLPUGP0Y9</t>
  </si>
  <si>
    <t>MANNY</t>
  </si>
  <si>
    <t>#8882CLY2</t>
  </si>
  <si>
    <t>johny2.0</t>
  </si>
  <si>
    <t>#RJQR9U8U</t>
  </si>
  <si>
    <t>Blackstock</t>
  </si>
  <si>
    <t>#P2PV8RRUL</t>
  </si>
  <si>
    <t>power star</t>
  </si>
  <si>
    <t>#LPVYQVGU9</t>
  </si>
  <si>
    <t>aidan2</t>
  </si>
  <si>
    <t>#P8PQUQYJ9</t>
  </si>
  <si>
    <t>pekka</t>
  </si>
  <si>
    <t>#PRC00R0</t>
  </si>
  <si>
    <t>â’¿â“„â’½â“ƒ</t>
  </si>
  <si>
    <t>#8QGJGY2Y</t>
  </si>
  <si>
    <t>TheLogHog</t>
  </si>
  <si>
    <t>#29URP2J0Q</t>
  </si>
  <si>
    <t>Caden</t>
  </si>
  <si>
    <t>#PY08RJLCL</t>
  </si>
  <si>
    <t>mynutzzhurt</t>
  </si>
  <si>
    <t>#YJ9V98PPC</t>
  </si>
  <si>
    <t>PaddyG</t>
  </si>
  <si>
    <t>#CJCPCVPU</t>
  </si>
  <si>
    <t>Plu</t>
  </si>
  <si>
    <t>#UQQYJLPG</t>
  </si>
  <si>
    <t>ãƒ‰ãƒ©ã‚´ãƒ³ã‚¹ãƒ‘ãƒžãƒ¼</t>
  </si>
  <si>
    <t>#LLRLUQQQU</t>
  </si>
  <si>
    <t>O Sather..</t>
  </si>
  <si>
    <t>#QV8RYC0L</t>
  </si>
  <si>
    <t>BeastMode</t>
  </si>
  <si>
    <t>#LGPGV9R2</t>
  </si>
  <si>
    <t>Max12</t>
  </si>
  <si>
    <t>#88L0YJYR8</t>
  </si>
  <si>
    <t>ryan</t>
  </si>
  <si>
    <t>#L2RY9JVU9</t>
  </si>
  <si>
    <t>DMoney</t>
  </si>
  <si>
    <t>#PCPGYQVR0</t>
  </si>
  <si>
    <t>chi</t>
  </si>
  <si>
    <t>#JURR2UVY</t>
  </si>
  <si>
    <t>DJDaniel27</t>
  </si>
  <si>
    <t>#P2U0LUPVQ</t>
  </si>
  <si>
    <t>ZHockey07</t>
  </si>
  <si>
    <t>#YGJ2CCPL0</t>
  </si>
  <si>
    <t>Firestorm42</t>
  </si>
  <si>
    <t>#LVPC9GRYJ</t>
  </si>
  <si>
    <t>Chubbz</t>
  </si>
  <si>
    <t>#Q0CP2C08Y</t>
  </si>
  <si>
    <t>stop-</t>
  </si>
  <si>
    <t>#9VYJ820U9</t>
  </si>
  <si>
    <t>xXeggrollXx</t>
  </si>
  <si>
    <t>#LJ9P2YLUP</t>
  </si>
  <si>
    <t>Nates Rushed Al</t>
  </si>
  <si>
    <t>#LJLR8RP89</t>
  </si>
  <si>
    <t>Mr. Target</t>
  </si>
  <si>
    <t>#PRP08L8UY</t>
  </si>
  <si>
    <t>Larz</t>
  </si>
  <si>
    <t>#LVUYGUPY8</t>
  </si>
  <si>
    <t>RonCydaoe</t>
  </si>
  <si>
    <t>#8QPRQRQL</t>
  </si>
  <si>
    <t>David S</t>
  </si>
  <si>
    <t>#YRY9G0YCJ</t>
  </si>
  <si>
    <t>Cloaked_Virus</t>
  </si>
  <si>
    <t>#Q02RVPQ80</t>
  </si>
  <si>
    <t>earliii</t>
  </si>
  <si>
    <t>#LCVCJGLVQ</t>
  </si>
  <si>
    <t>Joe Mama</t>
  </si>
  <si>
    <t>#QP0PYJQUJ</t>
  </si>
  <si>
    <t>asianquinn</t>
  </si>
  <si>
    <t>#82RYVJCVL</t>
  </si>
  <si>
    <t>erik.nordseth</t>
  </si>
  <si>
    <t>#P0R2VUVRV</t>
  </si>
  <si>
    <t>Jeff the ref</t>
  </si>
  <si>
    <t>#LCJCLJCJ8</t>
  </si>
  <si>
    <t>JellyFamDimes</t>
  </si>
  <si>
    <t>#QLPUPU9JR</t>
  </si>
  <si>
    <t>stevma2</t>
  </si>
  <si>
    <t>#LUQYR9YJJ</t>
  </si>
  <si>
    <t>GucciMane06</t>
  </si>
  <si>
    <t>#QL8RLVG0U</t>
  </si>
  <si>
    <t>......</t>
  </si>
  <si>
    <t>#LR0L89LUP</t>
  </si>
  <si>
    <t>bread god</t>
  </si>
  <si>
    <t>#QLVJQCUVP</t>
  </si>
  <si>
    <t>memekeidnjwinej</t>
  </si>
  <si>
    <t>#Y0VVCLL82</t>
  </si>
  <si>
    <t>Dank_Potato</t>
  </si>
  <si>
    <t>#LLVULC29V</t>
  </si>
  <si>
    <t>Dr. Pekka</t>
  </si>
  <si>
    <t>#8PYP2J02J</t>
  </si>
  <si>
    <t>Panther</t>
  </si>
  <si>
    <t>ReqReceiveN WAR</t>
  </si>
  <si>
    <t>#Q9VQPR0J8</t>
  </si>
  <si>
    <t>JP</t>
  </si>
  <si>
    <t>#PY098PLLQ</t>
  </si>
  <si>
    <t>Andy</t>
  </si>
  <si>
    <t>#P9JQYRJVL</t>
  </si>
  <si>
    <t>nini</t>
  </si>
  <si>
    <t>#L8CJQPGPR</t>
  </si>
  <si>
    <t>FRONTALGaming</t>
  </si>
  <si>
    <t>#8U8UGY2Y0</t>
  </si>
  <si>
    <t>Wanderers</t>
  </si>
  <si>
    <t>#9LJL2UJ0G</t>
  </si>
  <si>
    <t>Smasher5</t>
  </si>
  <si>
    <t>#L0V2JR9CP</t>
  </si>
  <si>
    <t>aclwinners2014</t>
  </si>
  <si>
    <t>#PRQGVU999</t>
  </si>
  <si>
    <t>panfeyy</t>
  </si>
  <si>
    <t>#9CYPG8J9R</t>
  </si>
  <si>
    <t>ACL Wanderers</t>
  </si>
  <si>
    <t>#PJ2GULUCG</t>
  </si>
  <si>
    <t>SmolRyann</t>
  </si>
  <si>
    <t>#QYCR2UGL9</t>
  </si>
  <si>
    <t>seng tsawm</t>
  </si>
  <si>
    <t>#Q8YJ20RL0</t>
  </si>
  <si>
    <t>WALLSare</t>
  </si>
  <si>
    <t>#Q902U80RL</t>
  </si>
  <si>
    <t>abc</t>
  </si>
  <si>
    <t>#Q0PP2RPPR</t>
  </si>
  <si>
    <t>centremid</t>
  </si>
  <si>
    <t>#QYYPC9P20</t>
  </si>
  <si>
    <t>DARKâ˜œâ˜†â˜žSOUL$</t>
  </si>
  <si>
    <t>#PCJ92VLCV</t>
  </si>
  <si>
    <t>sinead2706</t>
  </si>
  <si>
    <t>#PPJPG2V8L</t>
  </si>
  <si>
    <t>Lillo</t>
  </si>
  <si>
    <t>#PRRUUC2C0</t>
  </si>
  <si>
    <t>Fernando</t>
  </si>
  <si>
    <t>#QP9JPJYLQ</t>
  </si>
  <si>
    <t>Ling On</t>
  </si>
  <si>
    <t>#Q8VRGVRL0</t>
  </si>
  <si>
    <t>roundball</t>
  </si>
  <si>
    <t>#L00URCCCR</t>
  </si>
  <si>
    <t>MY1T</t>
  </si>
  <si>
    <t>#QP9JLQ09G</t>
  </si>
  <si>
    <t>Ø¹Ø¨Ø¯Ø§Ù„Ù„Û</t>
  </si>
  <si>
    <t>#PRULVVG9Y</t>
  </si>
  <si>
    <t>joyoshryacks</t>
  </si>
  <si>
    <t>#Q0GGJGPUP</t>
  </si>
  <si>
    <t>Darth Solo</t>
  </si>
  <si>
    <t>#PYCULJCCP</t>
  </si>
  <si>
    <t>killer</t>
  </si>
  <si>
    <t>For 15 or 30</t>
  </si>
  <si>
    <t>Color</t>
  </si>
  <si>
    <t>Meaning</t>
  </si>
  <si>
    <t>Red</t>
  </si>
  <si>
    <t>Within</t>
  </si>
  <si>
    <t>Green</t>
  </si>
  <si>
    <t>Tile</t>
  </si>
  <si>
    <t>Over</t>
  </si>
  <si>
    <t>Not enough for 15 war</t>
  </si>
  <si>
    <t>Within limits for 30 war</t>
  </si>
  <si>
    <t>Exact req for 15 or 30</t>
  </si>
  <si>
    <t>Between 15 and 30</t>
  </si>
  <si>
    <t>Over 33</t>
  </si>
  <si>
    <t>Town Hall</t>
  </si>
  <si>
    <t>13D/14</t>
  </si>
  <si>
    <t>Possible combos</t>
  </si>
  <si>
    <t>TH13&amp;14</t>
  </si>
  <si>
    <t>Rushed 13+12</t>
  </si>
  <si>
    <t>SF 10s and 11s with LM 9s</t>
  </si>
  <si>
    <t xml:space="preserve"> DM/LM 10s and 11s with SF 9s</t>
  </si>
  <si>
    <t>ALL TH7+8</t>
  </si>
  <si>
    <t>TH7 + 8 + 9</t>
  </si>
  <si>
    <t>Last Season</t>
  </si>
  <si>
    <t>Totals</t>
  </si>
  <si>
    <t>Total</t>
  </si>
  <si>
    <t># of THs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</si>
</sst>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8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0000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893BC3"/>
        <bgColor indexed="64"/>
      </patternFill>
    </fill>
  </fills>
  <borders count="12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14">
    <xf numFmtId="0" fontId="0" fillId="0" borderId="0" xfId="0"/>
    <xf numFmtId="0" fontId="0" fillId="0" borderId="10" xfId="0" applyBorder="1"/>
    <xf numFmtId="0" fontId="0" fillId="0" borderId="10" xfId="0" applyBorder="1" applyAlignment="1">
      <alignment horizontal="center" vertical="center"/>
    </xf>
    <xf numFmtId="0" fontId="0" fillId="0" borderId="10" xfId="0" applyFont="1" applyBorder="1" applyAlignment="1">
      <alignment horizontal="center" vertical="center"/>
    </xf>
    <xf numFmtId="0" fontId="16" fillId="0" borderId="10" xfId="0" applyFont="1" applyBorder="1" applyAlignment="1">
      <alignment horizontal="center" vertical="center"/>
    </xf>
    <xf numFmtId="0" fontId="16" fillId="0" borderId="10" xfId="0" applyFont="1" applyBorder="1" applyAlignment="1">
      <alignment horizontal="center" vertical="center"/>
    </xf>
    <xf numFmtId="0" fontId="0" fillId="33" borderId="10" xfId="0" applyFill="1" applyBorder="1" applyAlignment="1">
      <alignment horizontal="center" vertical="center"/>
    </xf>
    <xf numFmtId="0" fontId="0" fillId="34" borderId="10" xfId="0" applyFill="1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35" borderId="10" xfId="0" applyFill="1" applyBorder="1" applyAlignment="1">
      <alignment horizontal="center" vertical="center"/>
    </xf>
    <xf numFmtId="0" fontId="0" fillId="36" borderId="10" xfId="0" applyFill="1" applyBorder="1" applyAlignment="1">
      <alignment horizontal="center" vertical="center"/>
    </xf>
    <xf numFmtId="0" fontId="0" fillId="37" borderId="10" xfId="0" applyFill="1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0" borderId="11" xfId="0" applyBorder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5">
    <dxf>
      <fill>
        <patternFill>
          <fgColor indexed="64"/>
          <bgColor rgb="FF9900CC"/>
        </patternFill>
      </fill>
    </dxf>
    <dxf>
      <fill>
        <patternFill>
          <fgColor indexed="64"/>
          <bgColor rgb="FF00FFFF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theme="5"/>
        </patternFill>
      </fill>
    </dxf>
    <dxf>
      <fill>
        <patternFill>
          <fgColor indexed="64"/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Z302"/>
  <sheetViews>
    <sheetView tabSelected="1" workbookViewId="0">
      <selection activeCell="U9" sqref="U9"/>
    </sheetView>
  </sheetViews>
  <sheetFormatPr defaultRowHeight="15" x14ac:dyDescent="0.25"/>
  <cols>
    <col min="14" max="14" width="27.85546875" bestFit="1" customWidth="1"/>
  </cols>
  <sheetData>
    <row r="1" spans="1:26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</row>
    <row r="2" spans="1:26" x14ac:dyDescent="0.25">
      <c r="A2" t="s">
        <v>6</v>
      </c>
      <c r="B2" t="s">
        <v>7</v>
      </c>
      <c r="C2" t="s">
        <v>8</v>
      </c>
      <c r="D2">
        <v>14</v>
      </c>
      <c r="E2" t="s">
        <v>9</v>
      </c>
      <c r="F2" t="s">
        <v>10</v>
      </c>
      <c r="N2" s="4" t="s">
        <v>665</v>
      </c>
      <c r="O2" s="4">
        <v>3</v>
      </c>
      <c r="P2" s="4">
        <v>4</v>
      </c>
      <c r="Q2" s="4">
        <v>5</v>
      </c>
      <c r="R2" s="4">
        <v>6</v>
      </c>
      <c r="S2" s="4">
        <v>7</v>
      </c>
      <c r="T2" s="4">
        <v>8</v>
      </c>
      <c r="U2" s="4">
        <v>9</v>
      </c>
      <c r="V2" s="4">
        <v>10</v>
      </c>
      <c r="W2" s="4">
        <v>11</v>
      </c>
      <c r="X2" s="4">
        <v>12</v>
      </c>
      <c r="Y2" s="4">
        <v>13</v>
      </c>
      <c r="Z2" s="4" t="s">
        <v>666</v>
      </c>
    </row>
    <row r="3" spans="1:26" x14ac:dyDescent="0.25">
      <c r="A3" t="s">
        <v>11</v>
      </c>
      <c r="B3" t="s">
        <v>12</v>
      </c>
      <c r="C3" t="s">
        <v>8</v>
      </c>
      <c r="D3">
        <v>13</v>
      </c>
      <c r="E3" t="s">
        <v>13</v>
      </c>
      <c r="F3" t="s">
        <v>10</v>
      </c>
      <c r="N3" s="4" t="s">
        <v>404</v>
      </c>
      <c r="O3" s="8">
        <f>COUNTIFS($D:$D,"=3",$F:$F,"Sheer Force")</f>
        <v>0</v>
      </c>
      <c r="P3" s="8">
        <f>COUNTIFS($D:$D,"=4",$F:$F,"Sheer Force")</f>
        <v>0</v>
      </c>
      <c r="Q3" s="8">
        <f>COUNTIFS($D:$D,"=5",$F:$F,"Sheer Force")</f>
        <v>0</v>
      </c>
      <c r="R3" s="8">
        <f>COUNTIFS($D:$D,"=6",$F:$F,"Sheer Force")</f>
        <v>0</v>
      </c>
      <c r="S3" s="8">
        <f>COUNTIFS($D:$D,"=7",$F:$F,"Sheer Force")</f>
        <v>2</v>
      </c>
      <c r="T3" s="8">
        <f>COUNTIFS($D:$D,"=8",$F:$F,"Sheer Force")</f>
        <v>4</v>
      </c>
      <c r="U3" s="8">
        <f>COUNTIFS($D:$D,"=9",$F:$F,"Sheer Force")</f>
        <v>18</v>
      </c>
      <c r="V3" s="8">
        <f>COUNTIFS($D:$D,"=10",$F:$F,"Sheer Force")</f>
        <v>13</v>
      </c>
      <c r="W3" s="8">
        <f>COUNTIFS($D:$D,"=11",$F:$F,"Sheer Force")</f>
        <v>6</v>
      </c>
      <c r="X3" s="8">
        <f>COUNTIFS($D:$D,"=12",$F:$F,"Sheer Force")</f>
        <v>4</v>
      </c>
      <c r="Y3" s="8">
        <f>COUNTIFS($D:$D,"=13",$F:$F,"Sheer Force")</f>
        <v>2</v>
      </c>
      <c r="Z3" s="8">
        <f>COUNTIFS($D:$D,"=14",$F:$F,"Sheer Force")</f>
        <v>1</v>
      </c>
    </row>
    <row r="4" spans="1:26" x14ac:dyDescent="0.25">
      <c r="A4" t="s">
        <v>14</v>
      </c>
      <c r="B4" t="s">
        <v>15</v>
      </c>
      <c r="C4" t="s">
        <v>8</v>
      </c>
      <c r="D4">
        <v>13</v>
      </c>
      <c r="E4" t="s">
        <v>16</v>
      </c>
      <c r="F4" t="s">
        <v>10</v>
      </c>
      <c r="N4" s="4" t="s">
        <v>10</v>
      </c>
      <c r="O4" s="8">
        <f>COUNTIFS($D:$D,"=3",$F:$F,"Legendary Monks")</f>
        <v>0</v>
      </c>
      <c r="P4" s="8">
        <f>COUNTIFS($D:$D,"=4",$F:$F,"Legendary Monks")</f>
        <v>0</v>
      </c>
      <c r="Q4" s="8">
        <f>COUNTIFS($D:$D,"=5",$F:$F,"Legendary Monks")</f>
        <v>0</v>
      </c>
      <c r="R4" s="8">
        <f>COUNTIFS($D:$D,"=6",$F:$F,"Legendary Monks")</f>
        <v>0</v>
      </c>
      <c r="S4" s="8">
        <f>COUNTIFS($D:$D,"=7",$F:$F,"Legendary Monks")</f>
        <v>5</v>
      </c>
      <c r="T4" s="8">
        <f>COUNTIFS($D:$D,"=8",$F:$F,"Legendary Monks")</f>
        <v>18</v>
      </c>
      <c r="U4" s="8">
        <f>COUNTIFS($D:$D,"=9",$F:$F,"Legendary Monks")</f>
        <v>11</v>
      </c>
      <c r="V4" s="8">
        <f>COUNTIFS($D:$D,"=10",$F:$F,"Legendary Monks")</f>
        <v>4</v>
      </c>
      <c r="W4" s="8">
        <f>COUNTIFS($D:$D,"=11",$F:$F,"Legendary Monks")</f>
        <v>0</v>
      </c>
      <c r="X4" s="8">
        <f>COUNTIFS($D:$D,"=12",$F:$F,"Legendary Monks")</f>
        <v>2</v>
      </c>
      <c r="Y4" s="8">
        <f>COUNTIFS($D:$D,"=13",$F:$F,"Legendary Monks")</f>
        <v>2</v>
      </c>
      <c r="Z4" s="8">
        <f>COUNTIFS($D:$D,"=14",$F:$F,"Legendary Monks")</f>
        <v>2</v>
      </c>
    </row>
    <row r="5" spans="1:26" x14ac:dyDescent="0.25">
      <c r="A5" t="s">
        <v>17</v>
      </c>
      <c r="B5" t="s">
        <v>18</v>
      </c>
      <c r="C5" t="s">
        <v>19</v>
      </c>
      <c r="D5">
        <v>14</v>
      </c>
      <c r="E5" t="s">
        <v>20</v>
      </c>
      <c r="F5" t="s">
        <v>10</v>
      </c>
      <c r="N5" s="4" t="s">
        <v>269</v>
      </c>
      <c r="O5" s="8">
        <f>COUNTIFS($D:$D,"=3",$F:$F,"Golden Clan")</f>
        <v>1</v>
      </c>
      <c r="P5" s="8">
        <f>COUNTIFS($D:$D,"=4",$F:$F,"Golden Clan")</f>
        <v>1</v>
      </c>
      <c r="Q5" s="8">
        <f>COUNTIFS($D:$D,"=5",$F:$F,"Golden Clan")</f>
        <v>0</v>
      </c>
      <c r="R5" s="8">
        <f>COUNTIFS($D:$D,"=6",$F:$F,"Golden Clan")</f>
        <v>2</v>
      </c>
      <c r="S5" s="8">
        <f>COUNTIFS($D:$D,"=7",$F:$F,"Golden Clan")</f>
        <v>3</v>
      </c>
      <c r="T5" s="8">
        <f>COUNTIFS($D:$D,"=8",$F:$F,"Golden Clan")</f>
        <v>1</v>
      </c>
      <c r="U5" s="8">
        <f>COUNTIFS($D:$D,"=9",$F:$F,"Golden Clan")</f>
        <v>1</v>
      </c>
      <c r="V5" s="8">
        <f>COUNTIFS($D:$D,"=10",$F:$F,"Golden Clan")</f>
        <v>1</v>
      </c>
      <c r="W5" s="8">
        <f>COUNTIFS($D:$D,"=11",$F:$F,"Golden Clan")</f>
        <v>1</v>
      </c>
      <c r="X5" s="8">
        <f>COUNTIFS($D:$D,"=12",$F:$F,"Golden Clan")</f>
        <v>0</v>
      </c>
      <c r="Y5" s="8">
        <f>COUNTIFS($D:$D,"=13",$F:$F,"Golden Clan")</f>
        <v>1</v>
      </c>
      <c r="Z5" s="8">
        <f>COUNTIFS($D:$D,"=14",$F:$F,"Golden Clan")</f>
        <v>0</v>
      </c>
    </row>
    <row r="6" spans="1:26" x14ac:dyDescent="0.25">
      <c r="A6" t="s">
        <v>21</v>
      </c>
      <c r="B6" t="s">
        <v>22</v>
      </c>
      <c r="C6" t="s">
        <v>23</v>
      </c>
      <c r="D6">
        <v>12</v>
      </c>
      <c r="E6" t="s">
        <v>24</v>
      </c>
      <c r="F6" t="s">
        <v>10</v>
      </c>
      <c r="N6" s="4" t="s">
        <v>301</v>
      </c>
      <c r="O6" s="8">
        <f>COUNTIFS($D:$D,"=3",$F:$F,"Dark Matter")</f>
        <v>0</v>
      </c>
      <c r="P6" s="8">
        <f>COUNTIFS($D:$D,"=4",$F:$F,"Dark Matter")</f>
        <v>0</v>
      </c>
      <c r="Q6" s="8">
        <f>COUNTIFS($D:$D,"=5",$F:$F,"Dark Matter")</f>
        <v>0</v>
      </c>
      <c r="R6" s="8">
        <f>COUNTIFS($D:$D,"=6",$F:$F,"Dark Matter")</f>
        <v>0</v>
      </c>
      <c r="S6" s="8">
        <f>COUNTIFS($D:$D,"=7",$F:$F,"Dark Matter")</f>
        <v>0</v>
      </c>
      <c r="T6" s="8">
        <f>COUNTIFS($D:$D,"=8",$F:$F,"Dark Matter")</f>
        <v>0</v>
      </c>
      <c r="U6" s="8">
        <f>COUNTIFS($D:$D,"=9",$F:$F,"Dark Matter")</f>
        <v>1</v>
      </c>
      <c r="V6" s="8">
        <f>COUNTIFS($D:$D,"=10",$F:$F,"Dark Matter")</f>
        <v>11</v>
      </c>
      <c r="W6" s="8">
        <f>COUNTIFS($D:$D,"=11",$F:$F,"Dark Matter")</f>
        <v>13</v>
      </c>
      <c r="X6" s="8">
        <f>COUNTIFS($D:$D,"12",$F:$F,"Dark Matter")</f>
        <v>4</v>
      </c>
      <c r="Y6" s="8">
        <f>COUNTIFS($D:$D,"=13",$F:$F,"Dark Matter")</f>
        <v>9</v>
      </c>
      <c r="Z6" s="8">
        <f>COUNTIFS($D:$D,"=14",$F:$F,"Dark Matter")</f>
        <v>9</v>
      </c>
    </row>
    <row r="7" spans="1:26" x14ac:dyDescent="0.25">
      <c r="A7" t="s">
        <v>25</v>
      </c>
      <c r="B7" t="s">
        <v>26</v>
      </c>
      <c r="C7" t="s">
        <v>8</v>
      </c>
      <c r="D7">
        <v>10</v>
      </c>
      <c r="E7" t="s">
        <v>27</v>
      </c>
      <c r="F7" t="s">
        <v>10</v>
      </c>
      <c r="N7" s="4" t="s">
        <v>145</v>
      </c>
      <c r="O7" s="8">
        <f>COUNTIFS($D:$D,"=3",$F:$F,"Wookies")</f>
        <v>0</v>
      </c>
      <c r="P7" s="8">
        <f>COUNTIFS($D:$D,"=4",$F:$F,"Wookies")</f>
        <v>0</v>
      </c>
      <c r="Q7" s="8">
        <f>COUNTIFS($D:$D,"=5",$F:$F,"Wookies")</f>
        <v>0</v>
      </c>
      <c r="R7" s="8">
        <f>COUNTIFS($D:$D,"=6",$F:$F,"Wookies")</f>
        <v>0</v>
      </c>
      <c r="S7" s="8">
        <f>COUNTIFS($D:$D,"=7",$F:$F,"Wookies")</f>
        <v>0</v>
      </c>
      <c r="T7" s="8">
        <f>COUNTIFS($D:$D,"=8",$F:$F,"Wookies")</f>
        <v>0</v>
      </c>
      <c r="U7" s="8">
        <f>COUNTIFS($D:$D,"=9",$F:$F,"Wookies")</f>
        <v>0</v>
      </c>
      <c r="V7" s="8">
        <f>COUNTIFS($D:$D,"=10",$F:$F,"Wookies")</f>
        <v>0</v>
      </c>
      <c r="W7" s="8">
        <f>COUNTIFS($D:$D,"=11",$F:$F,"Wookies")</f>
        <v>1</v>
      </c>
      <c r="X7" s="8">
        <f>COUNTIFS($D:$D,"=12",$F:$F,"Wookies")</f>
        <v>0</v>
      </c>
      <c r="Y7" s="8">
        <f>COUNTIFS($D:$D,"=13",$F:$F,"Wookies")</f>
        <v>0</v>
      </c>
      <c r="Z7" s="8">
        <f>COUNTIFS($D:$D,"=14",$F:$F,"Wookies")</f>
        <v>0</v>
      </c>
    </row>
    <row r="8" spans="1:26" x14ac:dyDescent="0.25">
      <c r="A8" t="s">
        <v>28</v>
      </c>
      <c r="B8" t="s">
        <v>29</v>
      </c>
      <c r="C8" t="s">
        <v>8</v>
      </c>
      <c r="D8">
        <v>9</v>
      </c>
      <c r="E8" t="s">
        <v>30</v>
      </c>
      <c r="F8" t="s">
        <v>10</v>
      </c>
      <c r="N8" s="4" t="s">
        <v>675</v>
      </c>
      <c r="O8" s="8">
        <f>SUM(O3:O7)</f>
        <v>1</v>
      </c>
      <c r="P8" s="8">
        <f t="shared" ref="P8:Z8" si="0">SUM(P3:P7)</f>
        <v>1</v>
      </c>
      <c r="Q8" s="8">
        <f t="shared" si="0"/>
        <v>0</v>
      </c>
      <c r="R8" s="8">
        <f t="shared" si="0"/>
        <v>2</v>
      </c>
      <c r="S8" s="8">
        <f t="shared" si="0"/>
        <v>10</v>
      </c>
      <c r="T8" s="12">
        <f t="shared" si="0"/>
        <v>23</v>
      </c>
      <c r="U8" s="12">
        <f t="shared" si="0"/>
        <v>31</v>
      </c>
      <c r="V8" s="8">
        <f t="shared" si="0"/>
        <v>29</v>
      </c>
      <c r="W8" s="8">
        <f t="shared" si="0"/>
        <v>21</v>
      </c>
      <c r="X8" s="8">
        <f t="shared" si="0"/>
        <v>10</v>
      </c>
      <c r="Y8" s="8">
        <f t="shared" si="0"/>
        <v>14</v>
      </c>
      <c r="Z8" s="8">
        <f t="shared" si="0"/>
        <v>12</v>
      </c>
    </row>
    <row r="9" spans="1:26" x14ac:dyDescent="0.25">
      <c r="A9" t="s">
        <v>31</v>
      </c>
      <c r="B9" t="s">
        <v>32</v>
      </c>
      <c r="C9" t="s">
        <v>19</v>
      </c>
      <c r="D9">
        <v>10</v>
      </c>
      <c r="E9" t="s">
        <v>30</v>
      </c>
      <c r="F9" t="s">
        <v>10</v>
      </c>
      <c r="T9" s="13" t="s">
        <v>676</v>
      </c>
      <c r="U9" s="1">
        <f>SUM(O8:Z8)</f>
        <v>154</v>
      </c>
    </row>
    <row r="10" spans="1:26" x14ac:dyDescent="0.25">
      <c r="A10" t="s">
        <v>33</v>
      </c>
      <c r="B10" t="s">
        <v>34</v>
      </c>
      <c r="C10" t="s">
        <v>8</v>
      </c>
      <c r="D10">
        <v>10</v>
      </c>
      <c r="E10" t="s">
        <v>30</v>
      </c>
      <c r="F10" t="s">
        <v>10</v>
      </c>
      <c r="I10" s="3" t="s">
        <v>652</v>
      </c>
      <c r="J10" s="3"/>
      <c r="K10" s="3"/>
      <c r="L10" s="3"/>
      <c r="N10" s="4" t="s">
        <v>667</v>
      </c>
      <c r="O10" s="8" t="s">
        <v>677</v>
      </c>
      <c r="P10" s="8">
        <v>15</v>
      </c>
      <c r="Q10" s="8">
        <v>30</v>
      </c>
      <c r="S10" s="1" t="s">
        <v>674</v>
      </c>
      <c r="T10" s="1"/>
    </row>
    <row r="11" spans="1:26" x14ac:dyDescent="0.25">
      <c r="A11" t="s">
        <v>35</v>
      </c>
      <c r="B11" t="s">
        <v>36</v>
      </c>
      <c r="C11" t="s">
        <v>8</v>
      </c>
      <c r="D11">
        <v>9</v>
      </c>
      <c r="E11" t="s">
        <v>30</v>
      </c>
      <c r="F11" t="s">
        <v>10</v>
      </c>
      <c r="I11" s="4" t="s">
        <v>653</v>
      </c>
      <c r="J11" s="5" t="s">
        <v>654</v>
      </c>
      <c r="K11" s="5"/>
      <c r="L11" s="5"/>
      <c r="N11" s="4" t="s">
        <v>668</v>
      </c>
      <c r="O11" s="8">
        <f>SUM(Y3:Y7)</f>
        <v>14</v>
      </c>
      <c r="P11" s="8" t="str">
        <f>_xlfn.IFS(O11=15,"Green",O11&lt;15,"Red",O11&gt;18,"Look-&gt;")</f>
        <v>Red</v>
      </c>
      <c r="Q11" s="8" t="str">
        <f>_xlfn.IFS(P11="Red","",O11&lt;29,"Tile",O11&gt;33,"Over",O11&gt;31,"Within",O11=30,"Green")</f>
        <v/>
      </c>
      <c r="S11" s="1"/>
      <c r="T11" s="1"/>
    </row>
    <row r="12" spans="1:26" x14ac:dyDescent="0.25">
      <c r="A12" t="s">
        <v>37</v>
      </c>
      <c r="B12" t="s">
        <v>38</v>
      </c>
      <c r="C12" t="s">
        <v>8</v>
      </c>
      <c r="D12">
        <v>9</v>
      </c>
      <c r="E12" t="s">
        <v>39</v>
      </c>
      <c r="F12" t="s">
        <v>10</v>
      </c>
      <c r="I12" s="6" t="s">
        <v>655</v>
      </c>
      <c r="J12" s="2" t="s">
        <v>660</v>
      </c>
      <c r="K12" s="2"/>
      <c r="L12" s="2"/>
      <c r="N12" s="4" t="s">
        <v>669</v>
      </c>
      <c r="O12" s="8">
        <f>SUM(V2:W2)+(U3)</f>
        <v>39</v>
      </c>
      <c r="P12" s="8" t="str">
        <f t="shared" ref="P12:P16" si="1">_xlfn.IFS(O12=15,"Green",O12&lt;15,"Red",O12&gt;18,"Look-&gt;")</f>
        <v>Look-&gt;</v>
      </c>
      <c r="Q12" s="8" t="str">
        <f t="shared" ref="Q12:Q16" si="2">_xlfn.IFS(P12="Red","",O12&lt;29,"Tile",O12&gt;33,"Over",O12&gt;31,"Within",O12=30,"Green")</f>
        <v>Over</v>
      </c>
      <c r="S12" s="1"/>
      <c r="T12" s="1"/>
    </row>
    <row r="13" spans="1:26" x14ac:dyDescent="0.25">
      <c r="A13" t="s">
        <v>40</v>
      </c>
      <c r="B13" t="s">
        <v>41</v>
      </c>
      <c r="C13" t="s">
        <v>8</v>
      </c>
      <c r="D13">
        <v>12</v>
      </c>
      <c r="E13" t="s">
        <v>39</v>
      </c>
      <c r="F13" t="s">
        <v>10</v>
      </c>
      <c r="I13" s="7" t="s">
        <v>656</v>
      </c>
      <c r="J13" s="8" t="s">
        <v>661</v>
      </c>
      <c r="K13" s="8"/>
      <c r="L13" s="8"/>
      <c r="N13" s="4" t="s">
        <v>670</v>
      </c>
      <c r="O13" s="8">
        <f>SUM(V3:W3)+SUM(U4)</f>
        <v>30</v>
      </c>
      <c r="P13" s="8" t="str">
        <f t="shared" si="1"/>
        <v>Look-&gt;</v>
      </c>
      <c r="Q13" s="8" t="str">
        <f t="shared" si="2"/>
        <v>Green</v>
      </c>
      <c r="S13" s="1"/>
      <c r="T13" s="1"/>
    </row>
    <row r="14" spans="1:26" x14ac:dyDescent="0.25">
      <c r="A14" t="s">
        <v>42</v>
      </c>
      <c r="B14" t="s">
        <v>43</v>
      </c>
      <c r="C14" t="s">
        <v>8</v>
      </c>
      <c r="D14">
        <v>10</v>
      </c>
      <c r="E14" t="s">
        <v>39</v>
      </c>
      <c r="F14" t="s">
        <v>10</v>
      </c>
      <c r="I14" s="9" t="s">
        <v>657</v>
      </c>
      <c r="J14" s="8" t="s">
        <v>662</v>
      </c>
      <c r="K14" s="8"/>
      <c r="L14" s="8"/>
      <c r="N14" s="4" t="s">
        <v>671</v>
      </c>
      <c r="O14" s="8">
        <f>SUM(V4+V6)+SUM(W4+W6)+U3</f>
        <v>46</v>
      </c>
      <c r="P14" s="8" t="str">
        <f t="shared" si="1"/>
        <v>Look-&gt;</v>
      </c>
      <c r="Q14" s="8" t="str">
        <f t="shared" si="2"/>
        <v>Over</v>
      </c>
      <c r="S14" s="1"/>
      <c r="T14" s="1"/>
    </row>
    <row r="15" spans="1:26" x14ac:dyDescent="0.25">
      <c r="A15" t="s">
        <v>44</v>
      </c>
      <c r="B15" t="s">
        <v>45</v>
      </c>
      <c r="C15" t="s">
        <v>23</v>
      </c>
      <c r="D15">
        <v>8</v>
      </c>
      <c r="E15" t="s">
        <v>46</v>
      </c>
      <c r="F15" t="s">
        <v>10</v>
      </c>
      <c r="I15" s="2"/>
      <c r="J15" s="2"/>
      <c r="K15" s="2"/>
      <c r="L15" s="2"/>
      <c r="N15" s="4" t="s">
        <v>672</v>
      </c>
      <c r="O15" s="8">
        <f>SUM(S3:T7)</f>
        <v>33</v>
      </c>
      <c r="P15" s="8" t="str">
        <f t="shared" si="1"/>
        <v>Look-&gt;</v>
      </c>
      <c r="Q15" s="8" t="str">
        <f t="shared" si="2"/>
        <v>Within</v>
      </c>
      <c r="S15" s="1"/>
      <c r="T15" s="1"/>
    </row>
    <row r="16" spans="1:26" x14ac:dyDescent="0.25">
      <c r="A16" t="s">
        <v>47</v>
      </c>
      <c r="B16" t="s">
        <v>48</v>
      </c>
      <c r="C16" t="s">
        <v>8</v>
      </c>
      <c r="D16">
        <v>9</v>
      </c>
      <c r="E16" t="s">
        <v>46</v>
      </c>
      <c r="F16" t="s">
        <v>10</v>
      </c>
      <c r="I16" s="10" t="s">
        <v>658</v>
      </c>
      <c r="J16" s="8" t="s">
        <v>663</v>
      </c>
      <c r="K16" s="8"/>
      <c r="L16" s="8"/>
      <c r="N16" s="8" t="s">
        <v>673</v>
      </c>
      <c r="O16" s="8">
        <f>SUM(S3:U7)</f>
        <v>64</v>
      </c>
      <c r="P16" s="8" t="str">
        <f t="shared" si="1"/>
        <v>Look-&gt;</v>
      </c>
      <c r="Q16" s="8" t="str">
        <f t="shared" si="2"/>
        <v>Over</v>
      </c>
    </row>
    <row r="17" spans="1:12" x14ac:dyDescent="0.25">
      <c r="A17" t="s">
        <v>49</v>
      </c>
      <c r="B17" t="s">
        <v>50</v>
      </c>
      <c r="C17" t="s">
        <v>8</v>
      </c>
      <c r="D17">
        <v>9</v>
      </c>
      <c r="E17" t="s">
        <v>46</v>
      </c>
      <c r="F17" t="s">
        <v>10</v>
      </c>
      <c r="I17" s="11" t="s">
        <v>659</v>
      </c>
      <c r="J17" s="8" t="s">
        <v>664</v>
      </c>
      <c r="K17" s="8"/>
      <c r="L17" s="8"/>
    </row>
    <row r="18" spans="1:12" x14ac:dyDescent="0.25">
      <c r="A18" t="s">
        <v>51</v>
      </c>
      <c r="B18" t="s">
        <v>52</v>
      </c>
      <c r="C18" t="s">
        <v>8</v>
      </c>
      <c r="D18">
        <v>9</v>
      </c>
      <c r="E18" t="s">
        <v>53</v>
      </c>
      <c r="F18" t="s">
        <v>10</v>
      </c>
    </row>
    <row r="19" spans="1:12" x14ac:dyDescent="0.25">
      <c r="A19" t="s">
        <v>54</v>
      </c>
      <c r="B19" t="s">
        <v>55</v>
      </c>
      <c r="C19" t="s">
        <v>8</v>
      </c>
      <c r="D19">
        <v>9</v>
      </c>
      <c r="E19" t="s">
        <v>56</v>
      </c>
      <c r="F19" t="s">
        <v>10</v>
      </c>
    </row>
    <row r="20" spans="1:12" x14ac:dyDescent="0.25">
      <c r="A20" t="s">
        <v>57</v>
      </c>
      <c r="B20" t="s">
        <v>58</v>
      </c>
      <c r="C20" t="s">
        <v>8</v>
      </c>
      <c r="D20">
        <v>9</v>
      </c>
      <c r="E20" t="s">
        <v>56</v>
      </c>
      <c r="F20" t="s">
        <v>10</v>
      </c>
    </row>
    <row r="21" spans="1:12" x14ac:dyDescent="0.25">
      <c r="A21" t="s">
        <v>59</v>
      </c>
      <c r="B21" t="s">
        <v>60</v>
      </c>
      <c r="C21" t="s">
        <v>8</v>
      </c>
      <c r="D21">
        <v>9</v>
      </c>
      <c r="E21" t="s">
        <v>56</v>
      </c>
      <c r="F21" t="s">
        <v>10</v>
      </c>
    </row>
    <row r="22" spans="1:12" x14ac:dyDescent="0.25">
      <c r="A22" t="s">
        <v>61</v>
      </c>
      <c r="B22" t="s">
        <v>62</v>
      </c>
      <c r="C22" t="s">
        <v>8</v>
      </c>
      <c r="D22">
        <v>8</v>
      </c>
      <c r="E22" t="s">
        <v>56</v>
      </c>
      <c r="F22" t="s">
        <v>10</v>
      </c>
    </row>
    <row r="23" spans="1:12" x14ac:dyDescent="0.25">
      <c r="A23" t="s">
        <v>63</v>
      </c>
      <c r="B23" t="s">
        <v>64</v>
      </c>
      <c r="C23" t="s">
        <v>8</v>
      </c>
      <c r="D23">
        <v>8</v>
      </c>
      <c r="E23" t="s">
        <v>56</v>
      </c>
      <c r="F23" t="s">
        <v>10</v>
      </c>
    </row>
    <row r="24" spans="1:12" x14ac:dyDescent="0.25">
      <c r="A24" t="s">
        <v>65</v>
      </c>
      <c r="B24" t="s">
        <v>66</v>
      </c>
      <c r="C24" t="s">
        <v>8</v>
      </c>
      <c r="D24">
        <v>8</v>
      </c>
      <c r="E24" t="s">
        <v>56</v>
      </c>
      <c r="F24" t="s">
        <v>10</v>
      </c>
    </row>
    <row r="25" spans="1:12" x14ac:dyDescent="0.25">
      <c r="A25" t="s">
        <v>67</v>
      </c>
      <c r="B25" t="s">
        <v>68</v>
      </c>
      <c r="C25" t="s">
        <v>8</v>
      </c>
      <c r="D25">
        <v>8</v>
      </c>
      <c r="E25" t="s">
        <v>56</v>
      </c>
      <c r="F25" t="s">
        <v>10</v>
      </c>
    </row>
    <row r="26" spans="1:12" x14ac:dyDescent="0.25">
      <c r="A26" t="s">
        <v>69</v>
      </c>
      <c r="B26" t="s">
        <v>70</v>
      </c>
      <c r="C26" t="s">
        <v>8</v>
      </c>
      <c r="D26">
        <v>7</v>
      </c>
      <c r="E26" t="s">
        <v>56</v>
      </c>
      <c r="F26" t="s">
        <v>10</v>
      </c>
    </row>
    <row r="27" spans="1:12" x14ac:dyDescent="0.25">
      <c r="A27" t="s">
        <v>71</v>
      </c>
      <c r="B27" t="s">
        <v>72</v>
      </c>
      <c r="C27" t="s">
        <v>8</v>
      </c>
      <c r="D27">
        <v>8</v>
      </c>
      <c r="E27" t="s">
        <v>73</v>
      </c>
      <c r="F27" t="s">
        <v>10</v>
      </c>
    </row>
    <row r="28" spans="1:12" x14ac:dyDescent="0.25">
      <c r="A28" t="s">
        <v>74</v>
      </c>
      <c r="B28" t="s">
        <v>75</v>
      </c>
      <c r="C28" t="s">
        <v>8</v>
      </c>
      <c r="D28">
        <v>8</v>
      </c>
      <c r="E28" t="s">
        <v>73</v>
      </c>
      <c r="F28" t="s">
        <v>10</v>
      </c>
    </row>
    <row r="29" spans="1:12" x14ac:dyDescent="0.25">
      <c r="A29" t="s">
        <v>76</v>
      </c>
      <c r="B29" t="s">
        <v>77</v>
      </c>
      <c r="C29" t="s">
        <v>8</v>
      </c>
      <c r="D29">
        <v>8</v>
      </c>
      <c r="E29" t="s">
        <v>73</v>
      </c>
      <c r="F29" t="s">
        <v>10</v>
      </c>
    </row>
    <row r="30" spans="1:12" x14ac:dyDescent="0.25">
      <c r="A30" t="s">
        <v>78</v>
      </c>
      <c r="B30" t="s">
        <v>79</v>
      </c>
      <c r="C30" t="s">
        <v>8</v>
      </c>
      <c r="D30">
        <v>8</v>
      </c>
      <c r="E30" t="s">
        <v>73</v>
      </c>
      <c r="F30" t="s">
        <v>10</v>
      </c>
    </row>
    <row r="31" spans="1:12" x14ac:dyDescent="0.25">
      <c r="A31" t="s">
        <v>80</v>
      </c>
      <c r="B31" t="s">
        <v>81</v>
      </c>
      <c r="C31" t="s">
        <v>8</v>
      </c>
      <c r="D31">
        <v>8</v>
      </c>
      <c r="E31" t="s">
        <v>73</v>
      </c>
      <c r="F31" t="s">
        <v>10</v>
      </c>
    </row>
    <row r="32" spans="1:12" x14ac:dyDescent="0.25">
      <c r="A32" t="s">
        <v>82</v>
      </c>
      <c r="B32" t="s">
        <v>83</v>
      </c>
      <c r="C32" t="s">
        <v>8</v>
      </c>
      <c r="D32">
        <v>8</v>
      </c>
      <c r="E32" t="s">
        <v>73</v>
      </c>
      <c r="F32" t="s">
        <v>10</v>
      </c>
    </row>
    <row r="33" spans="1:6" x14ac:dyDescent="0.25">
      <c r="A33" t="s">
        <v>84</v>
      </c>
      <c r="B33" t="s">
        <v>85</v>
      </c>
      <c r="C33" t="s">
        <v>8</v>
      </c>
      <c r="D33">
        <v>9</v>
      </c>
      <c r="E33" t="s">
        <v>86</v>
      </c>
      <c r="F33" t="s">
        <v>10</v>
      </c>
    </row>
    <row r="34" spans="1:6" x14ac:dyDescent="0.25">
      <c r="A34" t="s">
        <v>87</v>
      </c>
      <c r="B34" t="s">
        <v>88</v>
      </c>
      <c r="C34" t="s">
        <v>8</v>
      </c>
      <c r="D34">
        <v>8</v>
      </c>
      <c r="E34" t="s">
        <v>73</v>
      </c>
      <c r="F34" t="s">
        <v>10</v>
      </c>
    </row>
    <row r="35" spans="1:6" x14ac:dyDescent="0.25">
      <c r="A35" t="s">
        <v>89</v>
      </c>
      <c r="B35" t="s">
        <v>90</v>
      </c>
      <c r="C35" t="s">
        <v>8</v>
      </c>
      <c r="D35">
        <v>8</v>
      </c>
      <c r="E35" t="s">
        <v>86</v>
      </c>
      <c r="F35" t="s">
        <v>10</v>
      </c>
    </row>
    <row r="36" spans="1:6" x14ac:dyDescent="0.25">
      <c r="A36" t="s">
        <v>91</v>
      </c>
      <c r="B36" t="s">
        <v>92</v>
      </c>
      <c r="C36" t="s">
        <v>8</v>
      </c>
      <c r="D36">
        <v>8</v>
      </c>
      <c r="E36" t="s">
        <v>86</v>
      </c>
      <c r="F36" t="s">
        <v>10</v>
      </c>
    </row>
    <row r="37" spans="1:6" x14ac:dyDescent="0.25">
      <c r="A37" t="s">
        <v>93</v>
      </c>
      <c r="B37" t="s">
        <v>94</v>
      </c>
      <c r="C37" t="s">
        <v>95</v>
      </c>
      <c r="D37">
        <v>9</v>
      </c>
      <c r="E37" t="s">
        <v>86</v>
      </c>
      <c r="F37" t="s">
        <v>10</v>
      </c>
    </row>
    <row r="38" spans="1:6" x14ac:dyDescent="0.25">
      <c r="A38" t="s">
        <v>96</v>
      </c>
      <c r="B38" t="s">
        <v>97</v>
      </c>
      <c r="C38" t="s">
        <v>8</v>
      </c>
      <c r="D38">
        <v>8</v>
      </c>
      <c r="E38" t="s">
        <v>86</v>
      </c>
      <c r="F38" t="s">
        <v>10</v>
      </c>
    </row>
    <row r="39" spans="1:6" x14ac:dyDescent="0.25">
      <c r="A39" t="s">
        <v>98</v>
      </c>
      <c r="B39" t="s">
        <v>99</v>
      </c>
      <c r="C39" t="s">
        <v>8</v>
      </c>
      <c r="D39">
        <v>7</v>
      </c>
      <c r="E39" t="s">
        <v>86</v>
      </c>
      <c r="F39" t="s">
        <v>10</v>
      </c>
    </row>
    <row r="40" spans="1:6" x14ac:dyDescent="0.25">
      <c r="A40" t="s">
        <v>100</v>
      </c>
      <c r="B40" t="s">
        <v>101</v>
      </c>
      <c r="C40" t="s">
        <v>8</v>
      </c>
      <c r="D40">
        <v>8</v>
      </c>
      <c r="E40" t="s">
        <v>86</v>
      </c>
      <c r="F40" t="s">
        <v>10</v>
      </c>
    </row>
    <row r="41" spans="1:6" x14ac:dyDescent="0.25">
      <c r="A41" t="s">
        <v>102</v>
      </c>
      <c r="B41" t="s">
        <v>103</v>
      </c>
      <c r="C41" t="s">
        <v>19</v>
      </c>
      <c r="D41">
        <v>7</v>
      </c>
      <c r="E41" t="s">
        <v>104</v>
      </c>
      <c r="F41" t="s">
        <v>10</v>
      </c>
    </row>
    <row r="42" spans="1:6" x14ac:dyDescent="0.25">
      <c r="A42" t="s">
        <v>105</v>
      </c>
      <c r="B42" t="s">
        <v>106</v>
      </c>
      <c r="C42" t="s">
        <v>8</v>
      </c>
      <c r="D42">
        <v>7</v>
      </c>
      <c r="E42" t="s">
        <v>104</v>
      </c>
      <c r="F42" t="s">
        <v>10</v>
      </c>
    </row>
    <row r="43" spans="1:6" x14ac:dyDescent="0.25">
      <c r="A43" t="s">
        <v>107</v>
      </c>
      <c r="B43" t="s">
        <v>108</v>
      </c>
      <c r="C43" t="s">
        <v>8</v>
      </c>
      <c r="D43">
        <v>8</v>
      </c>
      <c r="E43" t="s">
        <v>104</v>
      </c>
      <c r="F43" t="s">
        <v>10</v>
      </c>
    </row>
    <row r="44" spans="1:6" x14ac:dyDescent="0.25">
      <c r="A44" t="s">
        <v>109</v>
      </c>
      <c r="B44" t="s">
        <v>110</v>
      </c>
      <c r="C44" t="s">
        <v>8</v>
      </c>
      <c r="D44">
        <v>7</v>
      </c>
      <c r="E44" t="s">
        <v>104</v>
      </c>
      <c r="F44" t="s">
        <v>10</v>
      </c>
    </row>
    <row r="45" spans="1:6" x14ac:dyDescent="0.25">
      <c r="A45" t="s">
        <v>111</v>
      </c>
      <c r="B45" t="s">
        <v>112</v>
      </c>
      <c r="C45" t="s">
        <v>19</v>
      </c>
      <c r="D45">
        <v>8</v>
      </c>
      <c r="E45" t="s">
        <v>104</v>
      </c>
      <c r="F45" t="s">
        <v>10</v>
      </c>
    </row>
    <row r="46" spans="1:6" x14ac:dyDescent="0.25">
      <c r="A46" t="s">
        <v>113</v>
      </c>
      <c r="B46" t="s">
        <v>114</v>
      </c>
      <c r="C46" t="s">
        <v>95</v>
      </c>
      <c r="D46">
        <v>8</v>
      </c>
      <c r="E46" t="s">
        <v>86</v>
      </c>
      <c r="F46" t="s">
        <v>115</v>
      </c>
    </row>
    <row r="47" spans="1:6" x14ac:dyDescent="0.25">
      <c r="A47" t="s">
        <v>116</v>
      </c>
      <c r="B47" t="s">
        <v>117</v>
      </c>
      <c r="C47" t="s">
        <v>95</v>
      </c>
      <c r="D47">
        <v>12</v>
      </c>
      <c r="E47" t="s">
        <v>118</v>
      </c>
      <c r="F47" t="s">
        <v>119</v>
      </c>
    </row>
    <row r="48" spans="1:6" x14ac:dyDescent="0.25">
      <c r="A48" t="s">
        <v>120</v>
      </c>
      <c r="B48" t="s">
        <v>121</v>
      </c>
      <c r="C48" t="s">
        <v>19</v>
      </c>
      <c r="D48">
        <v>8</v>
      </c>
      <c r="E48" t="s">
        <v>53</v>
      </c>
      <c r="F48" t="s">
        <v>119</v>
      </c>
    </row>
    <row r="49" spans="1:6" x14ac:dyDescent="0.25">
      <c r="A49" t="s">
        <v>122</v>
      </c>
      <c r="B49" t="s">
        <v>123</v>
      </c>
      <c r="C49" t="s">
        <v>19</v>
      </c>
      <c r="D49">
        <v>11</v>
      </c>
      <c r="E49" t="s">
        <v>118</v>
      </c>
      <c r="F49" t="s">
        <v>124</v>
      </c>
    </row>
    <row r="50" spans="1:6" x14ac:dyDescent="0.25">
      <c r="A50" t="s">
        <v>125</v>
      </c>
      <c r="B50" t="s">
        <v>126</v>
      </c>
      <c r="C50" t="s">
        <v>19</v>
      </c>
      <c r="D50">
        <v>13</v>
      </c>
      <c r="E50" t="s">
        <v>53</v>
      </c>
      <c r="F50" t="s">
        <v>124</v>
      </c>
    </row>
    <row r="51" spans="1:6" x14ac:dyDescent="0.25">
      <c r="A51" t="s">
        <v>127</v>
      </c>
      <c r="B51" t="s">
        <v>128</v>
      </c>
      <c r="C51" t="s">
        <v>19</v>
      </c>
      <c r="D51">
        <v>11</v>
      </c>
      <c r="E51" t="s">
        <v>53</v>
      </c>
      <c r="F51" t="s">
        <v>124</v>
      </c>
    </row>
    <row r="52" spans="1:6" x14ac:dyDescent="0.25">
      <c r="A52" t="s">
        <v>129</v>
      </c>
      <c r="B52" t="s">
        <v>130</v>
      </c>
      <c r="C52" t="s">
        <v>23</v>
      </c>
      <c r="D52">
        <v>11</v>
      </c>
      <c r="E52" t="s">
        <v>53</v>
      </c>
      <c r="F52" t="s">
        <v>124</v>
      </c>
    </row>
    <row r="53" spans="1:6" x14ac:dyDescent="0.25">
      <c r="A53" t="s">
        <v>131</v>
      </c>
      <c r="B53" t="s">
        <v>132</v>
      </c>
      <c r="C53" t="s">
        <v>8</v>
      </c>
      <c r="D53">
        <v>10</v>
      </c>
      <c r="E53" t="s">
        <v>53</v>
      </c>
      <c r="F53" t="s">
        <v>124</v>
      </c>
    </row>
    <row r="54" spans="1:6" x14ac:dyDescent="0.25">
      <c r="A54" t="s">
        <v>133</v>
      </c>
      <c r="B54" t="s">
        <v>134</v>
      </c>
      <c r="C54" t="s">
        <v>19</v>
      </c>
      <c r="D54">
        <v>10</v>
      </c>
      <c r="E54" t="s">
        <v>53</v>
      </c>
      <c r="F54" t="s">
        <v>124</v>
      </c>
    </row>
    <row r="55" spans="1:6" x14ac:dyDescent="0.25">
      <c r="A55" t="s">
        <v>135</v>
      </c>
      <c r="B55" t="s">
        <v>136</v>
      </c>
      <c r="C55" t="s">
        <v>19</v>
      </c>
      <c r="D55">
        <v>9</v>
      </c>
      <c r="E55" t="s">
        <v>53</v>
      </c>
      <c r="F55" t="s">
        <v>124</v>
      </c>
    </row>
    <row r="56" spans="1:6" x14ac:dyDescent="0.25">
      <c r="A56" t="s">
        <v>137</v>
      </c>
      <c r="B56" t="s">
        <v>138</v>
      </c>
      <c r="C56" t="s">
        <v>19</v>
      </c>
      <c r="D56">
        <v>9</v>
      </c>
      <c r="E56" t="s">
        <v>53</v>
      </c>
      <c r="F56" t="s">
        <v>124</v>
      </c>
    </row>
    <row r="57" spans="1:6" x14ac:dyDescent="0.25">
      <c r="A57" t="s">
        <v>139</v>
      </c>
      <c r="B57" t="s">
        <v>140</v>
      </c>
      <c r="C57" t="s">
        <v>19</v>
      </c>
      <c r="D57">
        <v>8</v>
      </c>
      <c r="E57" t="s">
        <v>53</v>
      </c>
      <c r="F57" t="s">
        <v>124</v>
      </c>
    </row>
    <row r="58" spans="1:6" x14ac:dyDescent="0.25">
      <c r="A58" t="s">
        <v>141</v>
      </c>
      <c r="B58" t="s">
        <v>142</v>
      </c>
      <c r="C58" t="s">
        <v>95</v>
      </c>
      <c r="D58">
        <v>3</v>
      </c>
      <c r="E58" t="s">
        <v>53</v>
      </c>
      <c r="F58" t="s">
        <v>124</v>
      </c>
    </row>
    <row r="59" spans="1:6" x14ac:dyDescent="0.25">
      <c r="A59" t="s">
        <v>143</v>
      </c>
      <c r="B59" t="s">
        <v>144</v>
      </c>
      <c r="C59" t="s">
        <v>95</v>
      </c>
      <c r="D59">
        <v>11</v>
      </c>
      <c r="E59" t="s">
        <v>53</v>
      </c>
      <c r="F59" t="s">
        <v>145</v>
      </c>
    </row>
    <row r="60" spans="1:6" x14ac:dyDescent="0.25">
      <c r="A60" t="s">
        <v>146</v>
      </c>
      <c r="B60" t="s">
        <v>147</v>
      </c>
      <c r="C60" t="s">
        <v>8</v>
      </c>
      <c r="D60">
        <v>14</v>
      </c>
      <c r="E60" t="s">
        <v>9</v>
      </c>
      <c r="F60" t="s">
        <v>148</v>
      </c>
    </row>
    <row r="61" spans="1:6" x14ac:dyDescent="0.25">
      <c r="A61" t="s">
        <v>149</v>
      </c>
      <c r="B61" t="s">
        <v>150</v>
      </c>
      <c r="C61" t="s">
        <v>8</v>
      </c>
      <c r="D61">
        <v>14</v>
      </c>
      <c r="E61" t="s">
        <v>20</v>
      </c>
      <c r="F61" t="s">
        <v>148</v>
      </c>
    </row>
    <row r="62" spans="1:6" x14ac:dyDescent="0.25">
      <c r="A62" t="s">
        <v>151</v>
      </c>
      <c r="B62" t="s">
        <v>152</v>
      </c>
      <c r="C62" t="s">
        <v>8</v>
      </c>
      <c r="D62">
        <v>10</v>
      </c>
      <c r="E62" t="s">
        <v>20</v>
      </c>
      <c r="F62" t="s">
        <v>148</v>
      </c>
    </row>
    <row r="63" spans="1:6" x14ac:dyDescent="0.25">
      <c r="A63" t="s">
        <v>153</v>
      </c>
      <c r="B63" t="s">
        <v>154</v>
      </c>
      <c r="C63" t="s">
        <v>8</v>
      </c>
      <c r="D63">
        <v>14</v>
      </c>
      <c r="E63" t="s">
        <v>155</v>
      </c>
      <c r="F63" t="s">
        <v>148</v>
      </c>
    </row>
    <row r="64" spans="1:6" x14ac:dyDescent="0.25">
      <c r="A64" t="s">
        <v>156</v>
      </c>
      <c r="B64" t="s">
        <v>157</v>
      </c>
      <c r="C64" t="s">
        <v>8</v>
      </c>
      <c r="D64">
        <v>6</v>
      </c>
      <c r="E64" t="s">
        <v>104</v>
      </c>
      <c r="F64" t="s">
        <v>148</v>
      </c>
    </row>
    <row r="65" spans="1:6" x14ac:dyDescent="0.25">
      <c r="A65" t="s">
        <v>158</v>
      </c>
      <c r="B65" t="s">
        <v>159</v>
      </c>
      <c r="C65" t="s">
        <v>19</v>
      </c>
      <c r="D65">
        <v>7</v>
      </c>
      <c r="E65" t="s">
        <v>104</v>
      </c>
      <c r="F65" t="s">
        <v>148</v>
      </c>
    </row>
    <row r="66" spans="1:6" x14ac:dyDescent="0.25">
      <c r="A66" t="s">
        <v>160</v>
      </c>
      <c r="B66" t="s">
        <v>161</v>
      </c>
      <c r="C66" t="s">
        <v>23</v>
      </c>
      <c r="D66">
        <v>6</v>
      </c>
      <c r="E66" t="s">
        <v>104</v>
      </c>
      <c r="F66" t="s">
        <v>148</v>
      </c>
    </row>
    <row r="67" spans="1:6" x14ac:dyDescent="0.25">
      <c r="A67" t="s">
        <v>162</v>
      </c>
      <c r="B67" t="s">
        <v>163</v>
      </c>
      <c r="C67" t="s">
        <v>8</v>
      </c>
      <c r="D67">
        <v>5</v>
      </c>
      <c r="E67" t="s">
        <v>104</v>
      </c>
      <c r="F67" t="s">
        <v>148</v>
      </c>
    </row>
    <row r="68" spans="1:6" x14ac:dyDescent="0.25">
      <c r="A68" t="s">
        <v>164</v>
      </c>
      <c r="B68" t="s">
        <v>165</v>
      </c>
      <c r="C68" t="s">
        <v>8</v>
      </c>
      <c r="D68">
        <v>8</v>
      </c>
      <c r="E68" t="s">
        <v>104</v>
      </c>
      <c r="F68" t="s">
        <v>148</v>
      </c>
    </row>
    <row r="69" spans="1:6" x14ac:dyDescent="0.25">
      <c r="A69" t="s">
        <v>166</v>
      </c>
      <c r="B69" t="s">
        <v>167</v>
      </c>
      <c r="C69" t="s">
        <v>23</v>
      </c>
      <c r="D69">
        <v>6</v>
      </c>
      <c r="E69" t="s">
        <v>104</v>
      </c>
      <c r="F69" t="s">
        <v>148</v>
      </c>
    </row>
    <row r="70" spans="1:6" x14ac:dyDescent="0.25">
      <c r="A70" t="s">
        <v>168</v>
      </c>
      <c r="B70" t="s">
        <v>169</v>
      </c>
      <c r="C70" t="s">
        <v>23</v>
      </c>
      <c r="D70">
        <v>6</v>
      </c>
      <c r="E70" t="s">
        <v>104</v>
      </c>
      <c r="F70" t="s">
        <v>148</v>
      </c>
    </row>
    <row r="71" spans="1:6" x14ac:dyDescent="0.25">
      <c r="A71" t="s">
        <v>170</v>
      </c>
      <c r="B71" t="s">
        <v>171</v>
      </c>
      <c r="C71" t="s">
        <v>8</v>
      </c>
      <c r="D71">
        <v>4</v>
      </c>
      <c r="E71" t="s">
        <v>104</v>
      </c>
      <c r="F71" t="s">
        <v>148</v>
      </c>
    </row>
    <row r="72" spans="1:6" x14ac:dyDescent="0.25">
      <c r="A72" t="s">
        <v>172</v>
      </c>
      <c r="B72" t="s">
        <v>173</v>
      </c>
      <c r="C72" t="s">
        <v>19</v>
      </c>
      <c r="D72">
        <v>6</v>
      </c>
      <c r="E72" t="s">
        <v>104</v>
      </c>
      <c r="F72" t="s">
        <v>148</v>
      </c>
    </row>
    <row r="73" spans="1:6" x14ac:dyDescent="0.25">
      <c r="A73" t="s">
        <v>174</v>
      </c>
      <c r="B73" t="s">
        <v>175</v>
      </c>
      <c r="C73" t="s">
        <v>8</v>
      </c>
      <c r="D73">
        <v>6</v>
      </c>
      <c r="E73" t="s">
        <v>104</v>
      </c>
      <c r="F73" t="s">
        <v>148</v>
      </c>
    </row>
    <row r="74" spans="1:6" x14ac:dyDescent="0.25">
      <c r="A74" t="s">
        <v>176</v>
      </c>
      <c r="B74" t="s">
        <v>177</v>
      </c>
      <c r="C74" t="s">
        <v>23</v>
      </c>
      <c r="D74">
        <v>6</v>
      </c>
      <c r="E74" t="s">
        <v>104</v>
      </c>
      <c r="F74" t="s">
        <v>148</v>
      </c>
    </row>
    <row r="75" spans="1:6" x14ac:dyDescent="0.25">
      <c r="A75" t="s">
        <v>178</v>
      </c>
      <c r="B75" t="s">
        <v>179</v>
      </c>
      <c r="C75" t="s">
        <v>8</v>
      </c>
      <c r="D75">
        <v>5</v>
      </c>
      <c r="E75" t="s">
        <v>104</v>
      </c>
      <c r="F75" t="s">
        <v>148</v>
      </c>
    </row>
    <row r="76" spans="1:6" x14ac:dyDescent="0.25">
      <c r="A76" t="s">
        <v>180</v>
      </c>
      <c r="B76" t="s">
        <v>181</v>
      </c>
      <c r="C76" t="s">
        <v>19</v>
      </c>
      <c r="D76">
        <v>6</v>
      </c>
      <c r="E76" t="s">
        <v>104</v>
      </c>
      <c r="F76" t="s">
        <v>148</v>
      </c>
    </row>
    <row r="77" spans="1:6" x14ac:dyDescent="0.25">
      <c r="A77" t="s">
        <v>182</v>
      </c>
      <c r="B77" t="s">
        <v>183</v>
      </c>
      <c r="C77" t="s">
        <v>8</v>
      </c>
      <c r="D77">
        <v>5</v>
      </c>
      <c r="E77" t="s">
        <v>184</v>
      </c>
      <c r="F77" t="s">
        <v>148</v>
      </c>
    </row>
    <row r="78" spans="1:6" x14ac:dyDescent="0.25">
      <c r="A78" t="s">
        <v>185</v>
      </c>
      <c r="B78" t="s">
        <v>186</v>
      </c>
      <c r="C78" t="s">
        <v>23</v>
      </c>
      <c r="D78">
        <v>6</v>
      </c>
      <c r="E78" t="s">
        <v>104</v>
      </c>
      <c r="F78" t="s">
        <v>148</v>
      </c>
    </row>
    <row r="79" spans="1:6" x14ac:dyDescent="0.25">
      <c r="A79" t="s">
        <v>187</v>
      </c>
      <c r="B79" t="s">
        <v>188</v>
      </c>
      <c r="C79" t="s">
        <v>8</v>
      </c>
      <c r="D79">
        <v>6</v>
      </c>
      <c r="E79" t="s">
        <v>104</v>
      </c>
      <c r="F79" t="s">
        <v>148</v>
      </c>
    </row>
    <row r="80" spans="1:6" x14ac:dyDescent="0.25">
      <c r="A80" t="s">
        <v>189</v>
      </c>
      <c r="B80" t="s">
        <v>190</v>
      </c>
      <c r="C80" t="s">
        <v>95</v>
      </c>
      <c r="D80">
        <v>5</v>
      </c>
      <c r="E80" t="s">
        <v>184</v>
      </c>
      <c r="F80" t="s">
        <v>148</v>
      </c>
    </row>
    <row r="81" spans="1:7" x14ac:dyDescent="0.25">
      <c r="A81" t="s">
        <v>191</v>
      </c>
      <c r="B81" t="s">
        <v>192</v>
      </c>
      <c r="C81" t="s">
        <v>8</v>
      </c>
      <c r="D81">
        <v>6</v>
      </c>
      <c r="E81" t="s">
        <v>104</v>
      </c>
      <c r="F81" t="s">
        <v>148</v>
      </c>
    </row>
    <row r="82" spans="1:7" x14ac:dyDescent="0.25">
      <c r="A82" t="s">
        <v>193</v>
      </c>
      <c r="B82" t="s">
        <v>194</v>
      </c>
      <c r="C82" t="s">
        <v>8</v>
      </c>
      <c r="D82">
        <v>6</v>
      </c>
      <c r="E82" t="s">
        <v>184</v>
      </c>
      <c r="F82" t="s">
        <v>148</v>
      </c>
    </row>
    <row r="83" spans="1:7" x14ac:dyDescent="0.25">
      <c r="A83" t="s">
        <v>195</v>
      </c>
      <c r="B83" t="s">
        <v>196</v>
      </c>
      <c r="C83" t="s">
        <v>23</v>
      </c>
      <c r="D83">
        <v>5</v>
      </c>
      <c r="E83" t="s">
        <v>184</v>
      </c>
      <c r="F83" t="s">
        <v>148</v>
      </c>
    </row>
    <row r="84" spans="1:7" x14ac:dyDescent="0.25">
      <c r="A84" t="s">
        <v>197</v>
      </c>
      <c r="B84" t="s">
        <v>198</v>
      </c>
      <c r="C84" t="s">
        <v>8</v>
      </c>
      <c r="D84">
        <v>5</v>
      </c>
      <c r="E84" t="s">
        <v>184</v>
      </c>
      <c r="F84" t="s">
        <v>148</v>
      </c>
    </row>
    <row r="85" spans="1:7" x14ac:dyDescent="0.25">
      <c r="A85" t="s">
        <v>199</v>
      </c>
      <c r="B85" t="s">
        <v>200</v>
      </c>
      <c r="C85" t="s">
        <v>8</v>
      </c>
      <c r="D85">
        <v>6</v>
      </c>
      <c r="E85" t="s">
        <v>184</v>
      </c>
      <c r="F85" t="s">
        <v>148</v>
      </c>
    </row>
    <row r="86" spans="1:7" x14ac:dyDescent="0.25">
      <c r="A86" t="s">
        <v>201</v>
      </c>
      <c r="B86" t="s">
        <v>202</v>
      </c>
      <c r="C86" t="s">
        <v>19</v>
      </c>
      <c r="D86">
        <v>5</v>
      </c>
      <c r="E86" t="s">
        <v>184</v>
      </c>
      <c r="F86" t="s">
        <v>148</v>
      </c>
    </row>
    <row r="87" spans="1:7" x14ac:dyDescent="0.25">
      <c r="A87" t="s">
        <v>203</v>
      </c>
      <c r="B87" t="s">
        <v>204</v>
      </c>
      <c r="C87" t="s">
        <v>205</v>
      </c>
      <c r="D87" t="s">
        <v>8</v>
      </c>
      <c r="E87">
        <v>5</v>
      </c>
      <c r="F87" t="s">
        <v>206</v>
      </c>
      <c r="G87" t="s">
        <v>148</v>
      </c>
    </row>
    <row r="88" spans="1:7" x14ac:dyDescent="0.25">
      <c r="A88" t="s">
        <v>207</v>
      </c>
      <c r="B88" t="s">
        <v>208</v>
      </c>
      <c r="C88" t="s">
        <v>23</v>
      </c>
      <c r="D88">
        <v>4</v>
      </c>
      <c r="E88" t="s">
        <v>206</v>
      </c>
      <c r="F88" t="s">
        <v>148</v>
      </c>
    </row>
    <row r="89" spans="1:7" x14ac:dyDescent="0.25">
      <c r="A89" t="s">
        <v>209</v>
      </c>
      <c r="B89" t="s">
        <v>210</v>
      </c>
      <c r="C89" t="s">
        <v>8</v>
      </c>
      <c r="D89">
        <v>3</v>
      </c>
      <c r="E89" t="s">
        <v>206</v>
      </c>
      <c r="F89" t="s">
        <v>148</v>
      </c>
    </row>
    <row r="90" spans="1:7" x14ac:dyDescent="0.25">
      <c r="A90" t="s">
        <v>211</v>
      </c>
      <c r="B90" t="s">
        <v>212</v>
      </c>
      <c r="C90" t="s">
        <v>8</v>
      </c>
      <c r="D90">
        <v>5</v>
      </c>
      <c r="E90" t="s">
        <v>53</v>
      </c>
      <c r="F90" t="s">
        <v>148</v>
      </c>
    </row>
    <row r="91" spans="1:7" x14ac:dyDescent="0.25">
      <c r="A91" t="s">
        <v>213</v>
      </c>
      <c r="B91" t="s">
        <v>214</v>
      </c>
      <c r="C91" t="s">
        <v>23</v>
      </c>
      <c r="D91">
        <v>5</v>
      </c>
      <c r="E91" t="s">
        <v>206</v>
      </c>
      <c r="F91" t="s">
        <v>148</v>
      </c>
    </row>
    <row r="92" spans="1:7" x14ac:dyDescent="0.25">
      <c r="A92" t="s">
        <v>215</v>
      </c>
      <c r="B92" t="s">
        <v>216</v>
      </c>
      <c r="C92" t="s">
        <v>8</v>
      </c>
      <c r="D92">
        <v>4</v>
      </c>
      <c r="E92" t="s">
        <v>217</v>
      </c>
      <c r="F92" t="s">
        <v>148</v>
      </c>
    </row>
    <row r="93" spans="1:7" x14ac:dyDescent="0.25">
      <c r="A93" t="s">
        <v>218</v>
      </c>
      <c r="B93" t="s">
        <v>219</v>
      </c>
      <c r="C93" t="s">
        <v>8</v>
      </c>
      <c r="D93">
        <v>4</v>
      </c>
      <c r="E93" t="s">
        <v>217</v>
      </c>
      <c r="F93" t="s">
        <v>148</v>
      </c>
    </row>
    <row r="94" spans="1:7" x14ac:dyDescent="0.25">
      <c r="A94" t="s">
        <v>220</v>
      </c>
      <c r="B94" t="s">
        <v>221</v>
      </c>
      <c r="C94" t="s">
        <v>8</v>
      </c>
      <c r="D94">
        <v>4</v>
      </c>
      <c r="E94" t="s">
        <v>217</v>
      </c>
      <c r="F94" t="s">
        <v>148</v>
      </c>
    </row>
    <row r="95" spans="1:7" x14ac:dyDescent="0.25">
      <c r="A95" t="s">
        <v>222</v>
      </c>
      <c r="B95" t="s">
        <v>223</v>
      </c>
      <c r="C95" t="s">
        <v>8</v>
      </c>
      <c r="D95">
        <v>4</v>
      </c>
      <c r="E95" t="s">
        <v>53</v>
      </c>
      <c r="F95" t="s">
        <v>148</v>
      </c>
    </row>
    <row r="96" spans="1:7" x14ac:dyDescent="0.25">
      <c r="A96" t="s">
        <v>224</v>
      </c>
      <c r="B96" t="s">
        <v>225</v>
      </c>
      <c r="C96" t="s">
        <v>8</v>
      </c>
      <c r="D96">
        <v>3</v>
      </c>
      <c r="E96" t="s">
        <v>53</v>
      </c>
      <c r="F96" t="s">
        <v>148</v>
      </c>
    </row>
    <row r="97" spans="1:6" x14ac:dyDescent="0.25">
      <c r="A97" t="s">
        <v>226</v>
      </c>
      <c r="B97" t="s">
        <v>227</v>
      </c>
      <c r="C97" t="s">
        <v>8</v>
      </c>
      <c r="D97">
        <v>4</v>
      </c>
      <c r="E97" t="s">
        <v>53</v>
      </c>
      <c r="F97" t="s">
        <v>148</v>
      </c>
    </row>
    <row r="98" spans="1:6" x14ac:dyDescent="0.25">
      <c r="A98" t="s">
        <v>228</v>
      </c>
      <c r="B98" t="s">
        <v>229</v>
      </c>
      <c r="C98" t="s">
        <v>8</v>
      </c>
      <c r="D98">
        <v>3</v>
      </c>
      <c r="E98" t="s">
        <v>53</v>
      </c>
      <c r="F98" t="s">
        <v>148</v>
      </c>
    </row>
    <row r="99" spans="1:6" x14ac:dyDescent="0.25">
      <c r="A99" t="s">
        <v>230</v>
      </c>
      <c r="B99" t="s">
        <v>231</v>
      </c>
      <c r="C99" t="s">
        <v>19</v>
      </c>
      <c r="D99">
        <v>3</v>
      </c>
      <c r="E99" t="s">
        <v>53</v>
      </c>
      <c r="F99" t="s">
        <v>148</v>
      </c>
    </row>
    <row r="100" spans="1:6" x14ac:dyDescent="0.25">
      <c r="A100" t="s">
        <v>232</v>
      </c>
      <c r="B100" t="s">
        <v>233</v>
      </c>
      <c r="C100" t="s">
        <v>8</v>
      </c>
      <c r="D100">
        <v>4</v>
      </c>
      <c r="E100" t="s">
        <v>53</v>
      </c>
      <c r="F100" t="s">
        <v>148</v>
      </c>
    </row>
    <row r="101" spans="1:6" x14ac:dyDescent="0.25">
      <c r="A101" t="s">
        <v>234</v>
      </c>
      <c r="B101" t="s">
        <v>235</v>
      </c>
      <c r="C101" t="s">
        <v>8</v>
      </c>
      <c r="D101">
        <v>3</v>
      </c>
      <c r="E101" t="s">
        <v>53</v>
      </c>
      <c r="F101" t="s">
        <v>148</v>
      </c>
    </row>
    <row r="102" spans="1:6" x14ac:dyDescent="0.25">
      <c r="A102" t="s">
        <v>236</v>
      </c>
      <c r="B102" t="s">
        <v>237</v>
      </c>
      <c r="C102" t="s">
        <v>8</v>
      </c>
      <c r="D102">
        <v>3</v>
      </c>
      <c r="E102" t="s">
        <v>53</v>
      </c>
      <c r="F102" t="s">
        <v>148</v>
      </c>
    </row>
    <row r="103" spans="1:6" x14ac:dyDescent="0.25">
      <c r="A103" t="s">
        <v>238</v>
      </c>
      <c r="B103" t="s">
        <v>239</v>
      </c>
      <c r="C103" t="s">
        <v>8</v>
      </c>
      <c r="D103">
        <v>3</v>
      </c>
      <c r="E103" t="s">
        <v>53</v>
      </c>
      <c r="F103" t="s">
        <v>148</v>
      </c>
    </row>
    <row r="104" spans="1:6" x14ac:dyDescent="0.25">
      <c r="A104" t="s">
        <v>240</v>
      </c>
      <c r="B104" t="s">
        <v>241</v>
      </c>
      <c r="C104" t="s">
        <v>23</v>
      </c>
      <c r="D104">
        <v>3</v>
      </c>
      <c r="E104" t="s">
        <v>53</v>
      </c>
      <c r="F104" t="s">
        <v>148</v>
      </c>
    </row>
    <row r="105" spans="1:6" x14ac:dyDescent="0.25">
      <c r="A105" t="s">
        <v>242</v>
      </c>
      <c r="B105" t="s">
        <v>243</v>
      </c>
      <c r="C105" t="s">
        <v>8</v>
      </c>
      <c r="D105">
        <v>3</v>
      </c>
      <c r="E105" t="s">
        <v>53</v>
      </c>
      <c r="F105" t="s">
        <v>148</v>
      </c>
    </row>
    <row r="106" spans="1:6" x14ac:dyDescent="0.25">
      <c r="A106" t="s">
        <v>244</v>
      </c>
      <c r="B106" t="s">
        <v>245</v>
      </c>
      <c r="C106" t="s">
        <v>19</v>
      </c>
      <c r="D106">
        <v>11</v>
      </c>
      <c r="E106" t="s">
        <v>53</v>
      </c>
      <c r="F106" t="s">
        <v>246</v>
      </c>
    </row>
    <row r="107" spans="1:6" x14ac:dyDescent="0.25">
      <c r="A107" t="s">
        <v>247</v>
      </c>
      <c r="B107" t="s">
        <v>248</v>
      </c>
      <c r="C107" t="s">
        <v>23</v>
      </c>
      <c r="D107">
        <v>9</v>
      </c>
      <c r="E107" t="s">
        <v>53</v>
      </c>
      <c r="F107" t="s">
        <v>246</v>
      </c>
    </row>
    <row r="108" spans="1:6" x14ac:dyDescent="0.25">
      <c r="A108" t="s">
        <v>249</v>
      </c>
      <c r="B108" t="s">
        <v>250</v>
      </c>
      <c r="C108" t="s">
        <v>19</v>
      </c>
      <c r="D108">
        <v>9</v>
      </c>
      <c r="E108" t="s">
        <v>56</v>
      </c>
      <c r="F108" t="s">
        <v>246</v>
      </c>
    </row>
    <row r="109" spans="1:6" x14ac:dyDescent="0.25">
      <c r="A109" t="s">
        <v>251</v>
      </c>
      <c r="B109" t="s">
        <v>252</v>
      </c>
      <c r="C109" t="s">
        <v>8</v>
      </c>
      <c r="D109">
        <v>9</v>
      </c>
      <c r="E109" t="s">
        <v>53</v>
      </c>
      <c r="F109" t="s">
        <v>246</v>
      </c>
    </row>
    <row r="110" spans="1:6" x14ac:dyDescent="0.25">
      <c r="A110" t="s">
        <v>253</v>
      </c>
      <c r="B110" t="s">
        <v>254</v>
      </c>
      <c r="C110" t="s">
        <v>95</v>
      </c>
      <c r="D110">
        <v>3</v>
      </c>
      <c r="E110" t="s">
        <v>217</v>
      </c>
      <c r="F110" t="s">
        <v>246</v>
      </c>
    </row>
    <row r="111" spans="1:6" x14ac:dyDescent="0.25">
      <c r="A111" t="s">
        <v>255</v>
      </c>
      <c r="B111" t="s">
        <v>256</v>
      </c>
      <c r="C111" t="s">
        <v>95</v>
      </c>
      <c r="D111">
        <v>3</v>
      </c>
      <c r="E111" t="s">
        <v>53</v>
      </c>
      <c r="F111" t="s">
        <v>257</v>
      </c>
    </row>
    <row r="112" spans="1:6" x14ac:dyDescent="0.25">
      <c r="A112" t="s">
        <v>258</v>
      </c>
      <c r="B112" t="s">
        <v>259</v>
      </c>
      <c r="C112" t="s">
        <v>8</v>
      </c>
      <c r="D112">
        <v>9</v>
      </c>
      <c r="E112" t="s">
        <v>56</v>
      </c>
      <c r="F112" t="s">
        <v>260</v>
      </c>
    </row>
    <row r="113" spans="1:6" x14ac:dyDescent="0.25">
      <c r="A113" t="s">
        <v>261</v>
      </c>
      <c r="B113" t="s">
        <v>262</v>
      </c>
      <c r="C113" t="s">
        <v>8</v>
      </c>
      <c r="D113">
        <v>6</v>
      </c>
      <c r="E113" t="s">
        <v>104</v>
      </c>
      <c r="F113" t="s">
        <v>260</v>
      </c>
    </row>
    <row r="114" spans="1:6" x14ac:dyDescent="0.25">
      <c r="A114" t="s">
        <v>263</v>
      </c>
      <c r="B114" t="s">
        <v>264</v>
      </c>
      <c r="C114" t="s">
        <v>19</v>
      </c>
      <c r="D114">
        <v>5</v>
      </c>
      <c r="E114" t="s">
        <v>53</v>
      </c>
      <c r="F114" t="s">
        <v>260</v>
      </c>
    </row>
    <row r="115" spans="1:6" x14ac:dyDescent="0.25">
      <c r="A115" t="s">
        <v>265</v>
      </c>
      <c r="B115" t="s">
        <v>266</v>
      </c>
      <c r="C115" t="s">
        <v>95</v>
      </c>
      <c r="D115">
        <v>3</v>
      </c>
      <c r="E115" t="s">
        <v>217</v>
      </c>
      <c r="F115" t="s">
        <v>260</v>
      </c>
    </row>
    <row r="116" spans="1:6" x14ac:dyDescent="0.25">
      <c r="A116" t="s">
        <v>267</v>
      </c>
      <c r="B116" t="s">
        <v>268</v>
      </c>
      <c r="C116" t="s">
        <v>8</v>
      </c>
      <c r="D116">
        <v>13</v>
      </c>
      <c r="E116" t="s">
        <v>53</v>
      </c>
      <c r="F116" t="s">
        <v>269</v>
      </c>
    </row>
    <row r="117" spans="1:6" x14ac:dyDescent="0.25">
      <c r="A117" t="s">
        <v>270</v>
      </c>
      <c r="B117" t="s">
        <v>271</v>
      </c>
      <c r="C117" t="s">
        <v>8</v>
      </c>
      <c r="D117">
        <v>10</v>
      </c>
      <c r="E117" t="s">
        <v>53</v>
      </c>
      <c r="F117" t="s">
        <v>269</v>
      </c>
    </row>
    <row r="118" spans="1:6" x14ac:dyDescent="0.25">
      <c r="A118" t="s">
        <v>272</v>
      </c>
      <c r="B118" t="s">
        <v>273</v>
      </c>
      <c r="C118" t="s">
        <v>8</v>
      </c>
      <c r="D118">
        <v>9</v>
      </c>
      <c r="E118" t="s">
        <v>53</v>
      </c>
      <c r="F118" t="s">
        <v>269</v>
      </c>
    </row>
    <row r="119" spans="1:6" x14ac:dyDescent="0.25">
      <c r="A119" t="s">
        <v>274</v>
      </c>
      <c r="B119" t="s">
        <v>275</v>
      </c>
      <c r="C119" t="s">
        <v>19</v>
      </c>
      <c r="D119">
        <v>8</v>
      </c>
      <c r="E119" t="s">
        <v>86</v>
      </c>
      <c r="F119" t="s">
        <v>269</v>
      </c>
    </row>
    <row r="120" spans="1:6" x14ac:dyDescent="0.25">
      <c r="A120" t="s">
        <v>276</v>
      </c>
      <c r="B120" t="s">
        <v>277</v>
      </c>
      <c r="C120" t="s">
        <v>8</v>
      </c>
      <c r="D120">
        <v>7</v>
      </c>
      <c r="E120" t="s">
        <v>53</v>
      </c>
      <c r="F120" t="s">
        <v>269</v>
      </c>
    </row>
    <row r="121" spans="1:6" x14ac:dyDescent="0.25">
      <c r="A121" t="s">
        <v>278</v>
      </c>
      <c r="B121" t="s">
        <v>279</v>
      </c>
      <c r="C121" t="s">
        <v>19</v>
      </c>
      <c r="D121">
        <v>7</v>
      </c>
      <c r="E121" t="s">
        <v>53</v>
      </c>
      <c r="F121" t="s">
        <v>269</v>
      </c>
    </row>
    <row r="122" spans="1:6" x14ac:dyDescent="0.25">
      <c r="A122" t="s">
        <v>280</v>
      </c>
      <c r="B122" t="s">
        <v>281</v>
      </c>
      <c r="C122" t="s">
        <v>8</v>
      </c>
      <c r="D122">
        <v>7</v>
      </c>
      <c r="E122" t="s">
        <v>104</v>
      </c>
      <c r="F122" t="s">
        <v>269</v>
      </c>
    </row>
    <row r="123" spans="1:6" x14ac:dyDescent="0.25">
      <c r="A123" t="s">
        <v>282</v>
      </c>
      <c r="B123" t="s">
        <v>283</v>
      </c>
      <c r="C123" t="s">
        <v>8</v>
      </c>
      <c r="D123">
        <v>6</v>
      </c>
      <c r="E123" t="s">
        <v>104</v>
      </c>
      <c r="F123" t="s">
        <v>269</v>
      </c>
    </row>
    <row r="124" spans="1:6" x14ac:dyDescent="0.25">
      <c r="A124" t="s">
        <v>284</v>
      </c>
      <c r="B124" t="s">
        <v>285</v>
      </c>
      <c r="C124" t="s">
        <v>8</v>
      </c>
      <c r="D124">
        <v>11</v>
      </c>
      <c r="E124" t="s">
        <v>53</v>
      </c>
      <c r="F124" t="s">
        <v>269</v>
      </c>
    </row>
    <row r="125" spans="1:6" x14ac:dyDescent="0.25">
      <c r="A125" t="s">
        <v>286</v>
      </c>
      <c r="B125" t="s">
        <v>287</v>
      </c>
      <c r="C125" t="s">
        <v>19</v>
      </c>
      <c r="D125">
        <v>6</v>
      </c>
      <c r="E125" t="s">
        <v>53</v>
      </c>
      <c r="F125" t="s">
        <v>269</v>
      </c>
    </row>
    <row r="126" spans="1:6" x14ac:dyDescent="0.25">
      <c r="A126" t="s">
        <v>288</v>
      </c>
      <c r="B126" t="s">
        <v>289</v>
      </c>
      <c r="C126" t="s">
        <v>8</v>
      </c>
      <c r="D126">
        <v>4</v>
      </c>
      <c r="E126" t="s">
        <v>53</v>
      </c>
      <c r="F126" t="s">
        <v>269</v>
      </c>
    </row>
    <row r="127" spans="1:6" x14ac:dyDescent="0.25">
      <c r="A127" t="s">
        <v>290</v>
      </c>
      <c r="B127" t="s">
        <v>291</v>
      </c>
      <c r="C127" t="s">
        <v>95</v>
      </c>
      <c r="D127">
        <v>3</v>
      </c>
      <c r="E127" t="s">
        <v>53</v>
      </c>
      <c r="F127" t="s">
        <v>269</v>
      </c>
    </row>
    <row r="128" spans="1:6" x14ac:dyDescent="0.25">
      <c r="A128" t="s">
        <v>292</v>
      </c>
      <c r="B128" t="s">
        <v>293</v>
      </c>
      <c r="C128" t="s">
        <v>95</v>
      </c>
      <c r="D128">
        <v>7</v>
      </c>
      <c r="E128" t="s">
        <v>53</v>
      </c>
      <c r="F128" t="s">
        <v>294</v>
      </c>
    </row>
    <row r="129" spans="1:6" x14ac:dyDescent="0.25">
      <c r="A129" t="s">
        <v>295</v>
      </c>
      <c r="B129" t="s">
        <v>296</v>
      </c>
      <c r="C129" t="s">
        <v>95</v>
      </c>
      <c r="D129">
        <v>9</v>
      </c>
      <c r="E129" t="s">
        <v>46</v>
      </c>
      <c r="F129" t="s">
        <v>297</v>
      </c>
    </row>
    <row r="130" spans="1:6" x14ac:dyDescent="0.25">
      <c r="A130" t="s">
        <v>298</v>
      </c>
      <c r="B130" t="s">
        <v>299</v>
      </c>
      <c r="C130" t="s">
        <v>95</v>
      </c>
      <c r="D130">
        <v>14</v>
      </c>
      <c r="E130" t="s">
        <v>300</v>
      </c>
      <c r="F130" t="s">
        <v>301</v>
      </c>
    </row>
    <row r="131" spans="1:6" x14ac:dyDescent="0.25">
      <c r="A131" t="s">
        <v>302</v>
      </c>
      <c r="B131" t="s">
        <v>303</v>
      </c>
      <c r="C131" t="s">
        <v>8</v>
      </c>
      <c r="D131">
        <v>13</v>
      </c>
      <c r="E131" t="s">
        <v>300</v>
      </c>
      <c r="F131" t="s">
        <v>301</v>
      </c>
    </row>
    <row r="132" spans="1:6" x14ac:dyDescent="0.25">
      <c r="A132" t="s">
        <v>304</v>
      </c>
      <c r="B132" t="s">
        <v>305</v>
      </c>
      <c r="C132" t="s">
        <v>19</v>
      </c>
      <c r="D132">
        <v>13</v>
      </c>
      <c r="E132" t="s">
        <v>300</v>
      </c>
      <c r="F132" t="s">
        <v>301</v>
      </c>
    </row>
    <row r="133" spans="1:6" x14ac:dyDescent="0.25">
      <c r="A133" t="s">
        <v>306</v>
      </c>
      <c r="B133" t="s">
        <v>307</v>
      </c>
      <c r="C133" t="s">
        <v>23</v>
      </c>
      <c r="D133">
        <v>14</v>
      </c>
      <c r="E133" t="s">
        <v>308</v>
      </c>
      <c r="F133" t="s">
        <v>301</v>
      </c>
    </row>
    <row r="134" spans="1:6" x14ac:dyDescent="0.25">
      <c r="A134" t="s">
        <v>309</v>
      </c>
      <c r="B134" t="s">
        <v>310</v>
      </c>
      <c r="C134" t="s">
        <v>19</v>
      </c>
      <c r="D134">
        <v>14</v>
      </c>
      <c r="E134" t="s">
        <v>308</v>
      </c>
      <c r="F134" t="s">
        <v>301</v>
      </c>
    </row>
    <row r="135" spans="1:6" x14ac:dyDescent="0.25">
      <c r="A135" t="s">
        <v>311</v>
      </c>
      <c r="B135" t="s">
        <v>312</v>
      </c>
      <c r="C135" t="s">
        <v>19</v>
      </c>
      <c r="D135">
        <v>13</v>
      </c>
      <c r="E135" t="s">
        <v>308</v>
      </c>
      <c r="F135" t="s">
        <v>301</v>
      </c>
    </row>
    <row r="136" spans="1:6" x14ac:dyDescent="0.25">
      <c r="A136" t="s">
        <v>313</v>
      </c>
      <c r="B136" t="s">
        <v>314</v>
      </c>
      <c r="C136" t="s">
        <v>19</v>
      </c>
      <c r="D136">
        <v>13</v>
      </c>
      <c r="E136" t="s">
        <v>308</v>
      </c>
      <c r="F136" t="s">
        <v>301</v>
      </c>
    </row>
    <row r="137" spans="1:6" x14ac:dyDescent="0.25">
      <c r="A137" t="s">
        <v>315</v>
      </c>
      <c r="B137" t="s">
        <v>316</v>
      </c>
      <c r="C137" t="s">
        <v>19</v>
      </c>
      <c r="D137">
        <v>12</v>
      </c>
      <c r="E137" t="s">
        <v>308</v>
      </c>
      <c r="F137" t="s">
        <v>301</v>
      </c>
    </row>
    <row r="138" spans="1:6" x14ac:dyDescent="0.25">
      <c r="A138" t="s">
        <v>317</v>
      </c>
      <c r="B138" t="s">
        <v>318</v>
      </c>
      <c r="C138" t="s">
        <v>23</v>
      </c>
      <c r="D138">
        <v>14</v>
      </c>
      <c r="E138" t="s">
        <v>308</v>
      </c>
      <c r="F138" t="s">
        <v>301</v>
      </c>
    </row>
    <row r="139" spans="1:6" x14ac:dyDescent="0.25">
      <c r="A139" t="s">
        <v>319</v>
      </c>
      <c r="B139" t="s">
        <v>320</v>
      </c>
      <c r="C139" t="s">
        <v>19</v>
      </c>
      <c r="D139">
        <v>14</v>
      </c>
      <c r="E139" t="s">
        <v>9</v>
      </c>
      <c r="F139" t="s">
        <v>301</v>
      </c>
    </row>
    <row r="140" spans="1:6" x14ac:dyDescent="0.25">
      <c r="A140" t="s">
        <v>321</v>
      </c>
      <c r="B140" t="s">
        <v>322</v>
      </c>
      <c r="C140" t="s">
        <v>8</v>
      </c>
      <c r="D140">
        <v>14</v>
      </c>
      <c r="E140" t="s">
        <v>308</v>
      </c>
      <c r="F140" t="s">
        <v>301</v>
      </c>
    </row>
    <row r="141" spans="1:6" x14ac:dyDescent="0.25">
      <c r="A141" t="s">
        <v>323</v>
      </c>
      <c r="B141" t="s">
        <v>324</v>
      </c>
      <c r="C141" t="s">
        <v>19</v>
      </c>
      <c r="D141">
        <v>13</v>
      </c>
      <c r="E141" t="s">
        <v>9</v>
      </c>
      <c r="F141" t="s">
        <v>301</v>
      </c>
    </row>
    <row r="142" spans="1:6" x14ac:dyDescent="0.25">
      <c r="A142" t="s">
        <v>325</v>
      </c>
      <c r="B142" t="s">
        <v>326</v>
      </c>
      <c r="C142" t="s">
        <v>8</v>
      </c>
      <c r="D142">
        <v>13</v>
      </c>
      <c r="E142" t="s">
        <v>327</v>
      </c>
      <c r="F142" t="s">
        <v>301</v>
      </c>
    </row>
    <row r="143" spans="1:6" x14ac:dyDescent="0.25">
      <c r="A143" t="s">
        <v>328</v>
      </c>
      <c r="B143" t="s">
        <v>329</v>
      </c>
      <c r="C143" t="s">
        <v>19</v>
      </c>
      <c r="D143">
        <v>14</v>
      </c>
      <c r="E143" t="s">
        <v>13</v>
      </c>
      <c r="F143" t="s">
        <v>301</v>
      </c>
    </row>
    <row r="144" spans="1:6" x14ac:dyDescent="0.25">
      <c r="A144" t="s">
        <v>330</v>
      </c>
      <c r="B144" t="s">
        <v>331</v>
      </c>
      <c r="C144" t="s">
        <v>19</v>
      </c>
      <c r="D144">
        <v>13</v>
      </c>
      <c r="E144" t="s">
        <v>13</v>
      </c>
      <c r="F144" t="s">
        <v>301</v>
      </c>
    </row>
    <row r="145" spans="1:6" x14ac:dyDescent="0.25">
      <c r="A145" t="s">
        <v>332</v>
      </c>
      <c r="B145" t="s">
        <v>333</v>
      </c>
      <c r="C145" t="s">
        <v>8</v>
      </c>
      <c r="D145">
        <v>13</v>
      </c>
      <c r="E145" t="s">
        <v>16</v>
      </c>
      <c r="F145" t="s">
        <v>301</v>
      </c>
    </row>
    <row r="146" spans="1:6" x14ac:dyDescent="0.25">
      <c r="A146" t="s">
        <v>334</v>
      </c>
      <c r="B146" t="s">
        <v>335</v>
      </c>
      <c r="C146" t="s">
        <v>19</v>
      </c>
      <c r="D146">
        <v>12</v>
      </c>
      <c r="E146" t="s">
        <v>16</v>
      </c>
      <c r="F146" t="s">
        <v>301</v>
      </c>
    </row>
    <row r="147" spans="1:6" x14ac:dyDescent="0.25">
      <c r="A147" t="s">
        <v>336</v>
      </c>
      <c r="B147" t="s">
        <v>337</v>
      </c>
      <c r="C147" t="s">
        <v>19</v>
      </c>
      <c r="D147">
        <v>14</v>
      </c>
      <c r="E147" t="s">
        <v>16</v>
      </c>
      <c r="F147" t="s">
        <v>301</v>
      </c>
    </row>
    <row r="148" spans="1:6" x14ac:dyDescent="0.25">
      <c r="A148" t="s">
        <v>338</v>
      </c>
      <c r="B148" t="s">
        <v>339</v>
      </c>
      <c r="C148" t="s">
        <v>8</v>
      </c>
      <c r="D148">
        <v>13</v>
      </c>
      <c r="E148" t="s">
        <v>16</v>
      </c>
      <c r="F148" t="s">
        <v>301</v>
      </c>
    </row>
    <row r="149" spans="1:6" x14ac:dyDescent="0.25">
      <c r="A149" t="s">
        <v>340</v>
      </c>
      <c r="B149" t="s">
        <v>341</v>
      </c>
      <c r="C149" t="s">
        <v>8</v>
      </c>
      <c r="D149">
        <v>14</v>
      </c>
      <c r="E149" t="s">
        <v>16</v>
      </c>
      <c r="F149" t="s">
        <v>301</v>
      </c>
    </row>
    <row r="150" spans="1:6" x14ac:dyDescent="0.25">
      <c r="A150" t="s">
        <v>342</v>
      </c>
      <c r="B150" t="s">
        <v>343</v>
      </c>
      <c r="C150" t="s">
        <v>23</v>
      </c>
      <c r="D150">
        <v>11</v>
      </c>
      <c r="E150" t="s">
        <v>20</v>
      </c>
      <c r="F150" t="s">
        <v>301</v>
      </c>
    </row>
    <row r="151" spans="1:6" x14ac:dyDescent="0.25">
      <c r="A151" t="s">
        <v>344</v>
      </c>
      <c r="B151" t="s">
        <v>345</v>
      </c>
      <c r="C151" t="s">
        <v>23</v>
      </c>
      <c r="D151">
        <v>10</v>
      </c>
      <c r="E151" t="s">
        <v>20</v>
      </c>
      <c r="F151" t="s">
        <v>301</v>
      </c>
    </row>
    <row r="152" spans="1:6" x14ac:dyDescent="0.25">
      <c r="A152" t="s">
        <v>346</v>
      </c>
      <c r="B152" t="s">
        <v>347</v>
      </c>
      <c r="C152" t="s">
        <v>8</v>
      </c>
      <c r="D152">
        <v>11</v>
      </c>
      <c r="E152" t="s">
        <v>20</v>
      </c>
      <c r="F152" t="s">
        <v>301</v>
      </c>
    </row>
    <row r="153" spans="1:6" x14ac:dyDescent="0.25">
      <c r="A153" t="s">
        <v>348</v>
      </c>
      <c r="B153" t="s">
        <v>349</v>
      </c>
      <c r="C153" t="s">
        <v>19</v>
      </c>
      <c r="D153">
        <v>10</v>
      </c>
      <c r="E153" t="s">
        <v>20</v>
      </c>
      <c r="F153" t="s">
        <v>301</v>
      </c>
    </row>
    <row r="154" spans="1:6" x14ac:dyDescent="0.25">
      <c r="A154" t="s">
        <v>350</v>
      </c>
      <c r="B154" t="s">
        <v>351</v>
      </c>
      <c r="C154" t="s">
        <v>8</v>
      </c>
      <c r="D154">
        <v>11</v>
      </c>
      <c r="E154" t="s">
        <v>24</v>
      </c>
      <c r="F154" t="s">
        <v>301</v>
      </c>
    </row>
    <row r="155" spans="1:6" x14ac:dyDescent="0.25">
      <c r="A155" t="s">
        <v>352</v>
      </c>
      <c r="B155" t="s">
        <v>353</v>
      </c>
      <c r="C155" t="s">
        <v>8</v>
      </c>
      <c r="D155">
        <v>11</v>
      </c>
      <c r="E155" t="s">
        <v>24</v>
      </c>
      <c r="F155" t="s">
        <v>301</v>
      </c>
    </row>
    <row r="156" spans="1:6" x14ac:dyDescent="0.25">
      <c r="A156" t="s">
        <v>354</v>
      </c>
      <c r="B156" t="s">
        <v>355</v>
      </c>
      <c r="C156" t="s">
        <v>8</v>
      </c>
      <c r="D156">
        <v>12</v>
      </c>
      <c r="E156" t="s">
        <v>24</v>
      </c>
      <c r="F156" t="s">
        <v>301</v>
      </c>
    </row>
    <row r="157" spans="1:6" x14ac:dyDescent="0.25">
      <c r="A157" t="s">
        <v>356</v>
      </c>
      <c r="B157" t="s">
        <v>357</v>
      </c>
      <c r="C157" t="s">
        <v>23</v>
      </c>
      <c r="D157">
        <v>11</v>
      </c>
      <c r="E157" t="s">
        <v>118</v>
      </c>
      <c r="F157" t="s">
        <v>301</v>
      </c>
    </row>
    <row r="158" spans="1:6" x14ac:dyDescent="0.25">
      <c r="A158" t="s">
        <v>358</v>
      </c>
      <c r="B158" t="s">
        <v>359</v>
      </c>
      <c r="C158" t="s">
        <v>8</v>
      </c>
      <c r="D158">
        <v>12</v>
      </c>
      <c r="E158" t="s">
        <v>24</v>
      </c>
      <c r="F158" t="s">
        <v>301</v>
      </c>
    </row>
    <row r="159" spans="1:6" x14ac:dyDescent="0.25">
      <c r="A159" t="s">
        <v>360</v>
      </c>
      <c r="B159" t="s">
        <v>361</v>
      </c>
      <c r="C159" t="s">
        <v>23</v>
      </c>
      <c r="D159">
        <v>11</v>
      </c>
      <c r="E159" t="s">
        <v>24</v>
      </c>
      <c r="F159" t="s">
        <v>301</v>
      </c>
    </row>
    <row r="160" spans="1:6" x14ac:dyDescent="0.25">
      <c r="A160" t="s">
        <v>362</v>
      </c>
      <c r="B160" t="s">
        <v>363</v>
      </c>
      <c r="C160" t="s">
        <v>8</v>
      </c>
      <c r="D160">
        <v>10</v>
      </c>
      <c r="E160" t="s">
        <v>118</v>
      </c>
      <c r="F160" t="s">
        <v>301</v>
      </c>
    </row>
    <row r="161" spans="1:6" x14ac:dyDescent="0.25">
      <c r="A161" t="s">
        <v>364</v>
      </c>
      <c r="B161" t="s">
        <v>365</v>
      </c>
      <c r="C161" t="s">
        <v>8</v>
      </c>
      <c r="D161">
        <v>10</v>
      </c>
      <c r="E161" t="s">
        <v>155</v>
      </c>
      <c r="F161" t="s">
        <v>301</v>
      </c>
    </row>
    <row r="162" spans="1:6" x14ac:dyDescent="0.25">
      <c r="A162" t="s">
        <v>366</v>
      </c>
      <c r="B162" t="s">
        <v>367</v>
      </c>
      <c r="C162" t="s">
        <v>8</v>
      </c>
      <c r="D162">
        <v>11</v>
      </c>
      <c r="E162" t="s">
        <v>155</v>
      </c>
      <c r="F162" t="s">
        <v>301</v>
      </c>
    </row>
    <row r="163" spans="1:6" x14ac:dyDescent="0.25">
      <c r="A163" t="s">
        <v>368</v>
      </c>
      <c r="B163" t="s">
        <v>369</v>
      </c>
      <c r="C163" t="s">
        <v>8</v>
      </c>
      <c r="D163">
        <v>11</v>
      </c>
      <c r="E163" t="s">
        <v>370</v>
      </c>
      <c r="F163" t="s">
        <v>301</v>
      </c>
    </row>
    <row r="164" spans="1:6" x14ac:dyDescent="0.25">
      <c r="A164" t="s">
        <v>371</v>
      </c>
      <c r="B164" t="s">
        <v>372</v>
      </c>
      <c r="C164" t="s">
        <v>8</v>
      </c>
      <c r="D164">
        <v>11</v>
      </c>
      <c r="E164" t="s">
        <v>155</v>
      </c>
      <c r="F164" t="s">
        <v>301</v>
      </c>
    </row>
    <row r="165" spans="1:6" x14ac:dyDescent="0.25">
      <c r="A165" t="s">
        <v>373</v>
      </c>
      <c r="B165" t="s">
        <v>374</v>
      </c>
      <c r="C165" t="s">
        <v>8</v>
      </c>
      <c r="D165">
        <v>11</v>
      </c>
      <c r="E165" t="s">
        <v>155</v>
      </c>
      <c r="F165" t="s">
        <v>301</v>
      </c>
    </row>
    <row r="166" spans="1:6" x14ac:dyDescent="0.25">
      <c r="A166" t="s">
        <v>375</v>
      </c>
      <c r="B166" t="s">
        <v>376</v>
      </c>
      <c r="C166" t="s">
        <v>8</v>
      </c>
      <c r="D166">
        <v>10</v>
      </c>
      <c r="E166" t="s">
        <v>155</v>
      </c>
      <c r="F166" t="s">
        <v>301</v>
      </c>
    </row>
    <row r="167" spans="1:6" x14ac:dyDescent="0.25">
      <c r="A167" t="s">
        <v>377</v>
      </c>
      <c r="B167" t="s">
        <v>378</v>
      </c>
      <c r="C167" t="s">
        <v>8</v>
      </c>
      <c r="D167">
        <v>11</v>
      </c>
      <c r="E167" t="s">
        <v>370</v>
      </c>
      <c r="F167" t="s">
        <v>301</v>
      </c>
    </row>
    <row r="168" spans="1:6" x14ac:dyDescent="0.25">
      <c r="A168" t="s">
        <v>379</v>
      </c>
      <c r="B168" t="s">
        <v>380</v>
      </c>
      <c r="C168" t="s">
        <v>8</v>
      </c>
      <c r="D168">
        <v>10</v>
      </c>
      <c r="E168" t="s">
        <v>370</v>
      </c>
      <c r="F168" t="s">
        <v>301</v>
      </c>
    </row>
    <row r="169" spans="1:6" x14ac:dyDescent="0.25">
      <c r="A169" t="s">
        <v>381</v>
      </c>
      <c r="B169" t="s">
        <v>382</v>
      </c>
      <c r="C169" t="s">
        <v>8</v>
      </c>
      <c r="D169">
        <v>10</v>
      </c>
      <c r="E169" t="s">
        <v>370</v>
      </c>
      <c r="F169" t="s">
        <v>301</v>
      </c>
    </row>
    <row r="170" spans="1:6" x14ac:dyDescent="0.25">
      <c r="A170" t="s">
        <v>383</v>
      </c>
      <c r="B170" t="s">
        <v>384</v>
      </c>
      <c r="C170" t="s">
        <v>8</v>
      </c>
      <c r="D170">
        <v>10</v>
      </c>
      <c r="E170" t="s">
        <v>27</v>
      </c>
      <c r="F170" t="s">
        <v>301</v>
      </c>
    </row>
    <row r="171" spans="1:6" x14ac:dyDescent="0.25">
      <c r="A171" t="s">
        <v>385</v>
      </c>
      <c r="B171" t="s">
        <v>386</v>
      </c>
      <c r="C171" t="s">
        <v>8</v>
      </c>
      <c r="D171">
        <v>10</v>
      </c>
      <c r="E171" t="s">
        <v>370</v>
      </c>
      <c r="F171" t="s">
        <v>301</v>
      </c>
    </row>
    <row r="172" spans="1:6" x14ac:dyDescent="0.25">
      <c r="A172" t="s">
        <v>387</v>
      </c>
      <c r="B172" t="s">
        <v>388</v>
      </c>
      <c r="C172" t="s">
        <v>8</v>
      </c>
      <c r="D172">
        <v>11</v>
      </c>
      <c r="E172" t="s">
        <v>30</v>
      </c>
      <c r="F172" t="s">
        <v>301</v>
      </c>
    </row>
    <row r="173" spans="1:6" x14ac:dyDescent="0.25">
      <c r="A173" t="s">
        <v>389</v>
      </c>
      <c r="B173" t="s">
        <v>390</v>
      </c>
      <c r="C173" t="s">
        <v>8</v>
      </c>
      <c r="D173">
        <v>10</v>
      </c>
      <c r="E173" t="s">
        <v>30</v>
      </c>
      <c r="F173" t="s">
        <v>301</v>
      </c>
    </row>
    <row r="174" spans="1:6" x14ac:dyDescent="0.25">
      <c r="A174" t="s">
        <v>391</v>
      </c>
      <c r="B174" t="s">
        <v>392</v>
      </c>
      <c r="C174" t="s">
        <v>8</v>
      </c>
      <c r="D174">
        <v>10</v>
      </c>
      <c r="E174" t="s">
        <v>30</v>
      </c>
      <c r="F174" t="s">
        <v>301</v>
      </c>
    </row>
    <row r="175" spans="1:6" x14ac:dyDescent="0.25">
      <c r="A175" t="s">
        <v>393</v>
      </c>
      <c r="B175" t="s">
        <v>394</v>
      </c>
      <c r="C175" t="s">
        <v>8</v>
      </c>
      <c r="D175">
        <v>9</v>
      </c>
      <c r="E175" t="s">
        <v>46</v>
      </c>
      <c r="F175" t="s">
        <v>301</v>
      </c>
    </row>
    <row r="176" spans="1:6" x14ac:dyDescent="0.25">
      <c r="A176" t="s">
        <v>395</v>
      </c>
      <c r="B176" t="s">
        <v>396</v>
      </c>
      <c r="C176" t="s">
        <v>19</v>
      </c>
      <c r="D176">
        <v>11</v>
      </c>
      <c r="E176" t="s">
        <v>73</v>
      </c>
      <c r="F176" t="s">
        <v>301</v>
      </c>
    </row>
    <row r="177" spans="1:6" x14ac:dyDescent="0.25">
      <c r="A177" t="s">
        <v>397</v>
      </c>
      <c r="B177" t="s">
        <v>398</v>
      </c>
      <c r="C177" t="s">
        <v>95</v>
      </c>
      <c r="D177">
        <v>10</v>
      </c>
      <c r="E177" t="s">
        <v>53</v>
      </c>
      <c r="F177" t="s">
        <v>399</v>
      </c>
    </row>
    <row r="178" spans="1:6" x14ac:dyDescent="0.25">
      <c r="A178" t="s">
        <v>400</v>
      </c>
      <c r="B178" t="s">
        <v>401</v>
      </c>
      <c r="C178" t="s">
        <v>19</v>
      </c>
      <c r="D178">
        <v>9</v>
      </c>
      <c r="E178" t="s">
        <v>53</v>
      </c>
      <c r="F178" t="s">
        <v>399</v>
      </c>
    </row>
    <row r="179" spans="1:6" x14ac:dyDescent="0.25">
      <c r="A179" t="s">
        <v>402</v>
      </c>
      <c r="B179" t="s">
        <v>403</v>
      </c>
      <c r="C179" t="s">
        <v>8</v>
      </c>
      <c r="D179">
        <v>12</v>
      </c>
      <c r="E179" t="s">
        <v>9</v>
      </c>
      <c r="F179" t="s">
        <v>404</v>
      </c>
    </row>
    <row r="180" spans="1:6" x14ac:dyDescent="0.25">
      <c r="A180" t="s">
        <v>405</v>
      </c>
      <c r="B180" t="s">
        <v>406</v>
      </c>
      <c r="C180" t="s">
        <v>8</v>
      </c>
      <c r="D180">
        <v>13</v>
      </c>
      <c r="E180" t="s">
        <v>327</v>
      </c>
      <c r="F180" t="s">
        <v>404</v>
      </c>
    </row>
    <row r="181" spans="1:6" x14ac:dyDescent="0.25">
      <c r="A181" t="s">
        <v>407</v>
      </c>
      <c r="B181" t="s">
        <v>408</v>
      </c>
      <c r="C181" t="s">
        <v>8</v>
      </c>
      <c r="D181">
        <v>14</v>
      </c>
      <c r="E181" t="s">
        <v>327</v>
      </c>
      <c r="F181" t="s">
        <v>404</v>
      </c>
    </row>
    <row r="182" spans="1:6" x14ac:dyDescent="0.25">
      <c r="A182" t="s">
        <v>409</v>
      </c>
      <c r="B182" t="s">
        <v>410</v>
      </c>
      <c r="C182" t="s">
        <v>8</v>
      </c>
      <c r="D182">
        <v>10</v>
      </c>
      <c r="E182" t="s">
        <v>13</v>
      </c>
      <c r="F182" t="s">
        <v>404</v>
      </c>
    </row>
    <row r="183" spans="1:6" x14ac:dyDescent="0.25">
      <c r="A183" t="s">
        <v>411</v>
      </c>
      <c r="B183" t="s">
        <v>412</v>
      </c>
      <c r="C183" t="s">
        <v>8</v>
      </c>
      <c r="D183">
        <v>12</v>
      </c>
      <c r="E183" t="s">
        <v>16</v>
      </c>
      <c r="F183" t="s">
        <v>404</v>
      </c>
    </row>
    <row r="184" spans="1:6" x14ac:dyDescent="0.25">
      <c r="A184" t="s">
        <v>413</v>
      </c>
      <c r="B184" t="s">
        <v>414</v>
      </c>
      <c r="C184" t="s">
        <v>19</v>
      </c>
      <c r="D184">
        <v>12</v>
      </c>
      <c r="E184" t="s">
        <v>20</v>
      </c>
      <c r="F184" t="s">
        <v>404</v>
      </c>
    </row>
    <row r="185" spans="1:6" x14ac:dyDescent="0.25">
      <c r="A185" t="s">
        <v>415</v>
      </c>
      <c r="B185" t="s">
        <v>416</v>
      </c>
      <c r="C185" t="s">
        <v>19</v>
      </c>
      <c r="D185">
        <v>13</v>
      </c>
      <c r="E185" t="s">
        <v>24</v>
      </c>
      <c r="F185" t="s">
        <v>404</v>
      </c>
    </row>
    <row r="186" spans="1:6" x14ac:dyDescent="0.25">
      <c r="A186" t="s">
        <v>417</v>
      </c>
      <c r="B186" t="s">
        <v>418</v>
      </c>
      <c r="C186" t="s">
        <v>8</v>
      </c>
      <c r="D186">
        <v>12</v>
      </c>
      <c r="E186" t="s">
        <v>24</v>
      </c>
      <c r="F186" t="s">
        <v>404</v>
      </c>
    </row>
    <row r="187" spans="1:6" x14ac:dyDescent="0.25">
      <c r="A187" t="s">
        <v>419</v>
      </c>
      <c r="B187" t="s">
        <v>420</v>
      </c>
      <c r="C187" t="s">
        <v>8</v>
      </c>
      <c r="D187">
        <v>10</v>
      </c>
      <c r="E187" t="s">
        <v>118</v>
      </c>
      <c r="F187" t="s">
        <v>404</v>
      </c>
    </row>
    <row r="188" spans="1:6" x14ac:dyDescent="0.25">
      <c r="A188" t="s">
        <v>421</v>
      </c>
      <c r="B188" t="s">
        <v>422</v>
      </c>
      <c r="C188" t="s">
        <v>8</v>
      </c>
      <c r="D188">
        <v>9</v>
      </c>
      <c r="E188" t="s">
        <v>118</v>
      </c>
      <c r="F188" t="s">
        <v>404</v>
      </c>
    </row>
    <row r="189" spans="1:6" x14ac:dyDescent="0.25">
      <c r="A189" t="s">
        <v>423</v>
      </c>
      <c r="B189" t="s">
        <v>424</v>
      </c>
      <c r="C189" t="s">
        <v>8</v>
      </c>
      <c r="D189">
        <v>11</v>
      </c>
      <c r="E189" t="s">
        <v>118</v>
      </c>
      <c r="F189" t="s">
        <v>404</v>
      </c>
    </row>
    <row r="190" spans="1:6" x14ac:dyDescent="0.25">
      <c r="A190" t="s">
        <v>425</v>
      </c>
      <c r="B190" t="s">
        <v>426</v>
      </c>
      <c r="C190" t="s">
        <v>8</v>
      </c>
      <c r="D190">
        <v>10</v>
      </c>
      <c r="E190" t="s">
        <v>155</v>
      </c>
      <c r="F190" t="s">
        <v>404</v>
      </c>
    </row>
    <row r="191" spans="1:6" x14ac:dyDescent="0.25">
      <c r="A191" t="s">
        <v>427</v>
      </c>
      <c r="B191" t="s">
        <v>126</v>
      </c>
      <c r="C191" t="s">
        <v>95</v>
      </c>
      <c r="D191">
        <v>11</v>
      </c>
      <c r="E191" t="s">
        <v>155</v>
      </c>
      <c r="F191" t="s">
        <v>404</v>
      </c>
    </row>
    <row r="192" spans="1:6" x14ac:dyDescent="0.25">
      <c r="A192" t="s">
        <v>428</v>
      </c>
      <c r="B192" t="s">
        <v>429</v>
      </c>
      <c r="C192" t="s">
        <v>8</v>
      </c>
      <c r="D192">
        <v>10</v>
      </c>
      <c r="E192" t="s">
        <v>155</v>
      </c>
      <c r="F192" t="s">
        <v>404</v>
      </c>
    </row>
    <row r="193" spans="1:6" x14ac:dyDescent="0.25">
      <c r="A193" t="s">
        <v>430</v>
      </c>
      <c r="B193" t="s">
        <v>431</v>
      </c>
      <c r="C193" t="s">
        <v>8</v>
      </c>
      <c r="D193">
        <v>10</v>
      </c>
      <c r="E193" t="s">
        <v>155</v>
      </c>
      <c r="F193" t="s">
        <v>404</v>
      </c>
    </row>
    <row r="194" spans="1:6" x14ac:dyDescent="0.25">
      <c r="A194" t="s">
        <v>432</v>
      </c>
      <c r="B194" t="s">
        <v>433</v>
      </c>
      <c r="C194" t="s">
        <v>8</v>
      </c>
      <c r="D194">
        <v>10</v>
      </c>
      <c r="E194" t="s">
        <v>370</v>
      </c>
      <c r="F194" t="s">
        <v>404</v>
      </c>
    </row>
    <row r="195" spans="1:6" x14ac:dyDescent="0.25">
      <c r="A195" t="s">
        <v>434</v>
      </c>
      <c r="B195" t="s">
        <v>435</v>
      </c>
      <c r="C195" t="s">
        <v>8</v>
      </c>
      <c r="D195">
        <v>11</v>
      </c>
      <c r="E195" t="s">
        <v>370</v>
      </c>
      <c r="F195" t="s">
        <v>404</v>
      </c>
    </row>
    <row r="196" spans="1:6" x14ac:dyDescent="0.25">
      <c r="A196" t="s">
        <v>436</v>
      </c>
      <c r="B196" t="s">
        <v>437</v>
      </c>
      <c r="C196" t="s">
        <v>8</v>
      </c>
      <c r="D196">
        <v>10</v>
      </c>
      <c r="E196" t="s">
        <v>370</v>
      </c>
      <c r="F196" t="s">
        <v>404</v>
      </c>
    </row>
    <row r="197" spans="1:6" x14ac:dyDescent="0.25">
      <c r="A197" t="s">
        <v>438</v>
      </c>
      <c r="B197" t="s">
        <v>439</v>
      </c>
      <c r="C197" t="s">
        <v>8</v>
      </c>
      <c r="D197">
        <v>11</v>
      </c>
      <c r="E197" t="s">
        <v>27</v>
      </c>
      <c r="F197" t="s">
        <v>404</v>
      </c>
    </row>
    <row r="198" spans="1:6" x14ac:dyDescent="0.25">
      <c r="A198" t="s">
        <v>440</v>
      </c>
      <c r="B198" t="s">
        <v>441</v>
      </c>
      <c r="C198" t="s">
        <v>8</v>
      </c>
      <c r="D198">
        <v>11</v>
      </c>
      <c r="E198" t="s">
        <v>27</v>
      </c>
      <c r="F198" t="s">
        <v>404</v>
      </c>
    </row>
    <row r="199" spans="1:6" x14ac:dyDescent="0.25">
      <c r="A199" t="s">
        <v>442</v>
      </c>
      <c r="B199" t="s">
        <v>443</v>
      </c>
      <c r="C199" t="s">
        <v>23</v>
      </c>
      <c r="D199">
        <v>10</v>
      </c>
      <c r="E199" t="s">
        <v>27</v>
      </c>
      <c r="F199" t="s">
        <v>404</v>
      </c>
    </row>
    <row r="200" spans="1:6" x14ac:dyDescent="0.25">
      <c r="A200" t="s">
        <v>444</v>
      </c>
      <c r="B200" t="s">
        <v>445</v>
      </c>
      <c r="C200" t="s">
        <v>8</v>
      </c>
      <c r="D200">
        <v>9</v>
      </c>
      <c r="E200" t="s">
        <v>27</v>
      </c>
      <c r="F200" t="s">
        <v>404</v>
      </c>
    </row>
    <row r="201" spans="1:6" x14ac:dyDescent="0.25">
      <c r="A201" t="s">
        <v>446</v>
      </c>
      <c r="B201" t="s">
        <v>447</v>
      </c>
      <c r="C201" t="s">
        <v>8</v>
      </c>
      <c r="D201">
        <v>10</v>
      </c>
      <c r="E201" t="s">
        <v>30</v>
      </c>
      <c r="F201" t="s">
        <v>404</v>
      </c>
    </row>
    <row r="202" spans="1:6" x14ac:dyDescent="0.25">
      <c r="A202" t="s">
        <v>448</v>
      </c>
      <c r="B202" t="s">
        <v>449</v>
      </c>
      <c r="C202" t="s">
        <v>23</v>
      </c>
      <c r="D202">
        <v>10</v>
      </c>
      <c r="E202" t="s">
        <v>30</v>
      </c>
      <c r="F202" t="s">
        <v>404</v>
      </c>
    </row>
    <row r="203" spans="1:6" x14ac:dyDescent="0.25">
      <c r="A203" t="s">
        <v>450</v>
      </c>
      <c r="B203" t="s">
        <v>451</v>
      </c>
      <c r="C203" t="s">
        <v>8</v>
      </c>
      <c r="D203">
        <v>9</v>
      </c>
      <c r="E203" t="s">
        <v>30</v>
      </c>
      <c r="F203" t="s">
        <v>404</v>
      </c>
    </row>
    <row r="204" spans="1:6" x14ac:dyDescent="0.25">
      <c r="A204" t="s">
        <v>452</v>
      </c>
      <c r="B204" t="s">
        <v>453</v>
      </c>
      <c r="C204" t="s">
        <v>8</v>
      </c>
      <c r="D204">
        <v>9</v>
      </c>
      <c r="E204" t="s">
        <v>30</v>
      </c>
      <c r="F204" t="s">
        <v>404</v>
      </c>
    </row>
    <row r="205" spans="1:6" x14ac:dyDescent="0.25">
      <c r="A205" t="s">
        <v>454</v>
      </c>
      <c r="B205" t="s">
        <v>455</v>
      </c>
      <c r="C205" t="s">
        <v>19</v>
      </c>
      <c r="D205">
        <v>10</v>
      </c>
      <c r="E205" t="s">
        <v>30</v>
      </c>
      <c r="F205" t="s">
        <v>404</v>
      </c>
    </row>
    <row r="206" spans="1:6" x14ac:dyDescent="0.25">
      <c r="A206" t="s">
        <v>456</v>
      </c>
      <c r="B206" t="s">
        <v>457</v>
      </c>
      <c r="C206" t="s">
        <v>8</v>
      </c>
      <c r="D206">
        <v>10</v>
      </c>
      <c r="E206" t="s">
        <v>30</v>
      </c>
      <c r="F206" t="s">
        <v>404</v>
      </c>
    </row>
    <row r="207" spans="1:6" x14ac:dyDescent="0.25">
      <c r="A207" t="s">
        <v>458</v>
      </c>
      <c r="B207" t="s">
        <v>459</v>
      </c>
      <c r="C207" t="s">
        <v>8</v>
      </c>
      <c r="D207">
        <v>9</v>
      </c>
      <c r="E207" t="s">
        <v>30</v>
      </c>
      <c r="F207" t="s">
        <v>404</v>
      </c>
    </row>
    <row r="208" spans="1:6" x14ac:dyDescent="0.25">
      <c r="A208" t="s">
        <v>460</v>
      </c>
      <c r="B208" t="s">
        <v>461</v>
      </c>
      <c r="C208" t="s">
        <v>8</v>
      </c>
      <c r="D208">
        <v>9</v>
      </c>
      <c r="E208" t="s">
        <v>30</v>
      </c>
      <c r="F208" t="s">
        <v>404</v>
      </c>
    </row>
    <row r="209" spans="1:6" x14ac:dyDescent="0.25">
      <c r="A209" t="s">
        <v>462</v>
      </c>
      <c r="B209" t="s">
        <v>463</v>
      </c>
      <c r="C209" t="s">
        <v>8</v>
      </c>
      <c r="D209">
        <v>8</v>
      </c>
      <c r="E209" t="s">
        <v>30</v>
      </c>
      <c r="F209" t="s">
        <v>404</v>
      </c>
    </row>
    <row r="210" spans="1:6" x14ac:dyDescent="0.25">
      <c r="A210" t="s">
        <v>464</v>
      </c>
      <c r="B210" t="s">
        <v>465</v>
      </c>
      <c r="C210" t="s">
        <v>8</v>
      </c>
      <c r="D210">
        <v>9</v>
      </c>
      <c r="E210" t="s">
        <v>30</v>
      </c>
      <c r="F210" t="s">
        <v>404</v>
      </c>
    </row>
    <row r="211" spans="1:6" x14ac:dyDescent="0.25">
      <c r="A211" t="s">
        <v>466</v>
      </c>
      <c r="B211" t="s">
        <v>467</v>
      </c>
      <c r="C211" t="s">
        <v>8</v>
      </c>
      <c r="D211">
        <v>7</v>
      </c>
      <c r="E211" t="s">
        <v>39</v>
      </c>
      <c r="F211" t="s">
        <v>404</v>
      </c>
    </row>
    <row r="212" spans="1:6" x14ac:dyDescent="0.25">
      <c r="A212" t="s">
        <v>468</v>
      </c>
      <c r="B212" t="s">
        <v>469</v>
      </c>
      <c r="C212" t="s">
        <v>8</v>
      </c>
      <c r="D212">
        <v>10</v>
      </c>
      <c r="E212" t="s">
        <v>39</v>
      </c>
      <c r="F212" t="s">
        <v>404</v>
      </c>
    </row>
    <row r="213" spans="1:6" x14ac:dyDescent="0.25">
      <c r="A213" t="s">
        <v>470</v>
      </c>
      <c r="B213" t="s">
        <v>471</v>
      </c>
      <c r="C213" t="s">
        <v>8</v>
      </c>
      <c r="D213">
        <v>9</v>
      </c>
      <c r="E213" t="s">
        <v>39</v>
      </c>
      <c r="F213" t="s">
        <v>404</v>
      </c>
    </row>
    <row r="214" spans="1:6" x14ac:dyDescent="0.25">
      <c r="A214" t="s">
        <v>472</v>
      </c>
      <c r="B214" t="s">
        <v>473</v>
      </c>
      <c r="C214" t="s">
        <v>8</v>
      </c>
      <c r="D214">
        <v>9</v>
      </c>
      <c r="E214" t="s">
        <v>39</v>
      </c>
      <c r="F214" t="s">
        <v>404</v>
      </c>
    </row>
    <row r="215" spans="1:6" x14ac:dyDescent="0.25">
      <c r="A215" t="s">
        <v>474</v>
      </c>
      <c r="B215" t="s">
        <v>475</v>
      </c>
      <c r="C215" t="s">
        <v>8</v>
      </c>
      <c r="D215">
        <v>9</v>
      </c>
      <c r="E215" t="s">
        <v>39</v>
      </c>
      <c r="F215" t="s">
        <v>404</v>
      </c>
    </row>
    <row r="216" spans="1:6" x14ac:dyDescent="0.25">
      <c r="A216" t="s">
        <v>476</v>
      </c>
      <c r="B216" t="s">
        <v>477</v>
      </c>
      <c r="C216" t="s">
        <v>8</v>
      </c>
      <c r="D216">
        <v>9</v>
      </c>
      <c r="E216" t="s">
        <v>39</v>
      </c>
      <c r="F216" t="s">
        <v>404</v>
      </c>
    </row>
    <row r="217" spans="1:6" x14ac:dyDescent="0.25">
      <c r="A217" t="s">
        <v>478</v>
      </c>
      <c r="B217" t="s">
        <v>479</v>
      </c>
      <c r="C217" t="s">
        <v>8</v>
      </c>
      <c r="D217">
        <v>9</v>
      </c>
      <c r="E217" t="s">
        <v>46</v>
      </c>
      <c r="F217" t="s">
        <v>404</v>
      </c>
    </row>
    <row r="218" spans="1:6" x14ac:dyDescent="0.25">
      <c r="A218" t="s">
        <v>480</v>
      </c>
      <c r="B218" t="s">
        <v>481</v>
      </c>
      <c r="C218" t="s">
        <v>8</v>
      </c>
      <c r="D218">
        <v>9</v>
      </c>
      <c r="E218" t="s">
        <v>46</v>
      </c>
      <c r="F218" t="s">
        <v>404</v>
      </c>
    </row>
    <row r="219" spans="1:6" x14ac:dyDescent="0.25">
      <c r="A219" t="s">
        <v>482</v>
      </c>
      <c r="B219" t="s">
        <v>357</v>
      </c>
      <c r="C219" t="s">
        <v>23</v>
      </c>
      <c r="D219">
        <v>9</v>
      </c>
      <c r="E219" t="s">
        <v>46</v>
      </c>
      <c r="F219" t="s">
        <v>404</v>
      </c>
    </row>
    <row r="220" spans="1:6" x14ac:dyDescent="0.25">
      <c r="A220" t="s">
        <v>483</v>
      </c>
      <c r="B220" t="s">
        <v>484</v>
      </c>
      <c r="C220" t="s">
        <v>8</v>
      </c>
      <c r="D220">
        <v>7</v>
      </c>
      <c r="E220" t="s">
        <v>56</v>
      </c>
      <c r="F220" t="s">
        <v>404</v>
      </c>
    </row>
    <row r="221" spans="1:6" x14ac:dyDescent="0.25">
      <c r="A221" t="s">
        <v>485</v>
      </c>
      <c r="B221" t="s">
        <v>486</v>
      </c>
      <c r="C221" t="s">
        <v>8</v>
      </c>
      <c r="D221">
        <v>8</v>
      </c>
      <c r="E221" t="s">
        <v>56</v>
      </c>
      <c r="F221" t="s">
        <v>404</v>
      </c>
    </row>
    <row r="222" spans="1:6" x14ac:dyDescent="0.25">
      <c r="A222" t="s">
        <v>487</v>
      </c>
      <c r="B222" t="s">
        <v>488</v>
      </c>
      <c r="C222" t="s">
        <v>19</v>
      </c>
      <c r="D222">
        <v>9</v>
      </c>
      <c r="E222" t="s">
        <v>56</v>
      </c>
      <c r="F222" t="s">
        <v>404</v>
      </c>
    </row>
    <row r="223" spans="1:6" x14ac:dyDescent="0.25">
      <c r="A223" t="s">
        <v>489</v>
      </c>
      <c r="B223" t="s">
        <v>490</v>
      </c>
      <c r="C223" t="s">
        <v>8</v>
      </c>
      <c r="D223">
        <v>9</v>
      </c>
      <c r="E223" t="s">
        <v>56</v>
      </c>
      <c r="F223" t="s">
        <v>404</v>
      </c>
    </row>
    <row r="224" spans="1:6" x14ac:dyDescent="0.25">
      <c r="A224" t="s">
        <v>491</v>
      </c>
      <c r="B224" t="s">
        <v>492</v>
      </c>
      <c r="C224" t="s">
        <v>19</v>
      </c>
      <c r="D224">
        <v>9</v>
      </c>
      <c r="E224" t="s">
        <v>56</v>
      </c>
      <c r="F224" t="s">
        <v>404</v>
      </c>
    </row>
    <row r="225" spans="1:6" x14ac:dyDescent="0.25">
      <c r="A225" t="s">
        <v>493</v>
      </c>
      <c r="B225" t="s">
        <v>494</v>
      </c>
      <c r="C225" t="s">
        <v>23</v>
      </c>
      <c r="D225">
        <v>11</v>
      </c>
      <c r="E225" t="s">
        <v>73</v>
      </c>
      <c r="F225" t="s">
        <v>404</v>
      </c>
    </row>
    <row r="226" spans="1:6" x14ac:dyDescent="0.25">
      <c r="A226" t="s">
        <v>495</v>
      </c>
      <c r="B226" t="s">
        <v>496</v>
      </c>
      <c r="C226" t="s">
        <v>8</v>
      </c>
      <c r="D226">
        <v>8</v>
      </c>
      <c r="E226" t="s">
        <v>73</v>
      </c>
      <c r="F226" t="s">
        <v>404</v>
      </c>
    </row>
    <row r="227" spans="1:6" x14ac:dyDescent="0.25">
      <c r="A227" t="s">
        <v>497</v>
      </c>
      <c r="B227" t="s">
        <v>498</v>
      </c>
      <c r="C227" t="s">
        <v>8</v>
      </c>
      <c r="D227">
        <v>8</v>
      </c>
      <c r="E227" t="s">
        <v>73</v>
      </c>
      <c r="F227" t="s">
        <v>404</v>
      </c>
    </row>
    <row r="228" spans="1:6" x14ac:dyDescent="0.25">
      <c r="A228" t="s">
        <v>499</v>
      </c>
      <c r="B228" t="s">
        <v>500</v>
      </c>
      <c r="C228" t="s">
        <v>8</v>
      </c>
      <c r="D228">
        <v>9</v>
      </c>
      <c r="E228" t="s">
        <v>73</v>
      </c>
      <c r="F228" t="s">
        <v>404</v>
      </c>
    </row>
    <row r="229" spans="1:6" x14ac:dyDescent="0.25">
      <c r="A229" t="s">
        <v>501</v>
      </c>
      <c r="B229" t="s">
        <v>502</v>
      </c>
      <c r="C229" t="s">
        <v>95</v>
      </c>
      <c r="D229">
        <v>8</v>
      </c>
      <c r="E229" t="s">
        <v>53</v>
      </c>
      <c r="F229" t="s">
        <v>503</v>
      </c>
    </row>
    <row r="230" spans="1:6" x14ac:dyDescent="0.25">
      <c r="A230" t="s">
        <v>504</v>
      </c>
      <c r="B230" t="s">
        <v>505</v>
      </c>
      <c r="C230" t="s">
        <v>23</v>
      </c>
      <c r="D230">
        <v>11</v>
      </c>
      <c r="E230" t="s">
        <v>327</v>
      </c>
      <c r="F230" t="s">
        <v>506</v>
      </c>
    </row>
    <row r="231" spans="1:6" x14ac:dyDescent="0.25">
      <c r="A231" t="s">
        <v>507</v>
      </c>
      <c r="B231" t="s">
        <v>508</v>
      </c>
      <c r="C231" t="s">
        <v>8</v>
      </c>
      <c r="D231">
        <v>12</v>
      </c>
      <c r="E231" t="s">
        <v>16</v>
      </c>
      <c r="F231" t="s">
        <v>506</v>
      </c>
    </row>
    <row r="232" spans="1:6" x14ac:dyDescent="0.25">
      <c r="A232" t="s">
        <v>509</v>
      </c>
      <c r="B232" t="s">
        <v>510</v>
      </c>
      <c r="C232" t="s">
        <v>19</v>
      </c>
      <c r="D232">
        <v>11</v>
      </c>
      <c r="E232" t="s">
        <v>20</v>
      </c>
      <c r="F232" t="s">
        <v>506</v>
      </c>
    </row>
    <row r="233" spans="1:6" x14ac:dyDescent="0.25">
      <c r="A233" t="s">
        <v>511</v>
      </c>
      <c r="B233" t="s">
        <v>512</v>
      </c>
      <c r="C233" t="s">
        <v>8</v>
      </c>
      <c r="D233">
        <v>12</v>
      </c>
      <c r="E233" t="s">
        <v>118</v>
      </c>
      <c r="F233" t="s">
        <v>506</v>
      </c>
    </row>
    <row r="234" spans="1:6" x14ac:dyDescent="0.25">
      <c r="A234" t="s">
        <v>513</v>
      </c>
      <c r="B234" t="s">
        <v>514</v>
      </c>
      <c r="C234" t="s">
        <v>23</v>
      </c>
      <c r="D234">
        <v>12</v>
      </c>
      <c r="E234" t="s">
        <v>118</v>
      </c>
      <c r="F234" t="s">
        <v>506</v>
      </c>
    </row>
    <row r="235" spans="1:6" x14ac:dyDescent="0.25">
      <c r="A235" t="s">
        <v>515</v>
      </c>
      <c r="B235" t="s">
        <v>516</v>
      </c>
      <c r="C235" t="s">
        <v>19</v>
      </c>
      <c r="D235">
        <v>11</v>
      </c>
      <c r="E235" t="s">
        <v>155</v>
      </c>
      <c r="F235" t="s">
        <v>506</v>
      </c>
    </row>
    <row r="236" spans="1:6" x14ac:dyDescent="0.25">
      <c r="A236" t="s">
        <v>517</v>
      </c>
      <c r="B236" t="s">
        <v>518</v>
      </c>
      <c r="C236" t="s">
        <v>8</v>
      </c>
      <c r="D236">
        <v>13</v>
      </c>
      <c r="E236" t="s">
        <v>370</v>
      </c>
      <c r="F236" t="s">
        <v>506</v>
      </c>
    </row>
    <row r="237" spans="1:6" x14ac:dyDescent="0.25">
      <c r="A237" t="s">
        <v>519</v>
      </c>
      <c r="B237" t="s">
        <v>520</v>
      </c>
      <c r="C237" t="s">
        <v>95</v>
      </c>
      <c r="D237">
        <v>10</v>
      </c>
      <c r="E237" t="s">
        <v>370</v>
      </c>
      <c r="F237" t="s">
        <v>506</v>
      </c>
    </row>
    <row r="238" spans="1:6" x14ac:dyDescent="0.25">
      <c r="A238" t="s">
        <v>521</v>
      </c>
      <c r="B238" t="s">
        <v>522</v>
      </c>
      <c r="C238" t="s">
        <v>8</v>
      </c>
      <c r="D238">
        <v>10</v>
      </c>
      <c r="E238" t="s">
        <v>370</v>
      </c>
      <c r="F238" t="s">
        <v>506</v>
      </c>
    </row>
    <row r="239" spans="1:6" x14ac:dyDescent="0.25">
      <c r="A239" t="s">
        <v>523</v>
      </c>
      <c r="B239" t="s">
        <v>524</v>
      </c>
      <c r="C239" t="s">
        <v>8</v>
      </c>
      <c r="D239">
        <v>10</v>
      </c>
      <c r="E239" t="s">
        <v>370</v>
      </c>
      <c r="F239" t="s">
        <v>506</v>
      </c>
    </row>
    <row r="240" spans="1:6" x14ac:dyDescent="0.25">
      <c r="A240" t="s">
        <v>525</v>
      </c>
      <c r="B240" t="s">
        <v>526</v>
      </c>
      <c r="C240" t="s">
        <v>23</v>
      </c>
      <c r="D240">
        <v>9</v>
      </c>
      <c r="E240" t="s">
        <v>30</v>
      </c>
      <c r="F240" t="s">
        <v>506</v>
      </c>
    </row>
    <row r="241" spans="1:6" x14ac:dyDescent="0.25">
      <c r="A241" t="s">
        <v>527</v>
      </c>
      <c r="B241" t="s">
        <v>528</v>
      </c>
      <c r="C241" t="s">
        <v>8</v>
      </c>
      <c r="D241">
        <v>10</v>
      </c>
      <c r="E241" t="s">
        <v>30</v>
      </c>
      <c r="F241" t="s">
        <v>506</v>
      </c>
    </row>
    <row r="242" spans="1:6" x14ac:dyDescent="0.25">
      <c r="A242" t="s">
        <v>529</v>
      </c>
      <c r="B242" t="s">
        <v>530</v>
      </c>
      <c r="C242" t="s">
        <v>23</v>
      </c>
      <c r="D242">
        <v>9</v>
      </c>
      <c r="E242" t="s">
        <v>30</v>
      </c>
      <c r="F242" t="s">
        <v>506</v>
      </c>
    </row>
    <row r="243" spans="1:6" x14ac:dyDescent="0.25">
      <c r="A243" t="s">
        <v>531</v>
      </c>
      <c r="B243" t="s">
        <v>532</v>
      </c>
      <c r="C243" t="s">
        <v>8</v>
      </c>
      <c r="D243">
        <v>9</v>
      </c>
      <c r="E243" t="s">
        <v>30</v>
      </c>
      <c r="F243" t="s">
        <v>506</v>
      </c>
    </row>
    <row r="244" spans="1:6" x14ac:dyDescent="0.25">
      <c r="A244" t="s">
        <v>533</v>
      </c>
      <c r="B244" t="s">
        <v>534</v>
      </c>
      <c r="C244" t="s">
        <v>19</v>
      </c>
      <c r="D244">
        <v>11</v>
      </c>
      <c r="E244" t="s">
        <v>30</v>
      </c>
      <c r="F244" t="s">
        <v>506</v>
      </c>
    </row>
    <row r="245" spans="1:6" x14ac:dyDescent="0.25">
      <c r="A245" t="s">
        <v>535</v>
      </c>
      <c r="B245" t="s">
        <v>536</v>
      </c>
      <c r="C245" t="s">
        <v>19</v>
      </c>
      <c r="D245">
        <v>9</v>
      </c>
      <c r="E245" t="s">
        <v>39</v>
      </c>
      <c r="F245" t="s">
        <v>506</v>
      </c>
    </row>
    <row r="246" spans="1:6" x14ac:dyDescent="0.25">
      <c r="A246" t="s">
        <v>537</v>
      </c>
      <c r="B246" t="s">
        <v>538</v>
      </c>
      <c r="C246" t="s">
        <v>8</v>
      </c>
      <c r="D246">
        <v>9</v>
      </c>
      <c r="E246" t="s">
        <v>46</v>
      </c>
      <c r="F246" t="s">
        <v>506</v>
      </c>
    </row>
    <row r="247" spans="1:6" x14ac:dyDescent="0.25">
      <c r="A247" t="s">
        <v>539</v>
      </c>
      <c r="B247" t="s">
        <v>540</v>
      </c>
      <c r="C247" t="s">
        <v>23</v>
      </c>
      <c r="D247">
        <v>12</v>
      </c>
      <c r="E247" t="s">
        <v>53</v>
      </c>
      <c r="F247" t="s">
        <v>506</v>
      </c>
    </row>
    <row r="248" spans="1:6" x14ac:dyDescent="0.25">
      <c r="A248" t="s">
        <v>541</v>
      </c>
      <c r="B248" t="s">
        <v>542</v>
      </c>
      <c r="C248" t="s">
        <v>8</v>
      </c>
      <c r="D248">
        <v>9</v>
      </c>
      <c r="E248" t="s">
        <v>46</v>
      </c>
      <c r="F248" t="s">
        <v>506</v>
      </c>
    </row>
    <row r="249" spans="1:6" x14ac:dyDescent="0.25">
      <c r="A249" t="s">
        <v>543</v>
      </c>
      <c r="B249" t="s">
        <v>544</v>
      </c>
      <c r="C249" t="s">
        <v>8</v>
      </c>
      <c r="D249">
        <v>9</v>
      </c>
      <c r="E249" t="s">
        <v>46</v>
      </c>
      <c r="F249" t="s">
        <v>506</v>
      </c>
    </row>
    <row r="250" spans="1:6" x14ac:dyDescent="0.25">
      <c r="A250" t="s">
        <v>545</v>
      </c>
      <c r="B250" t="s">
        <v>546</v>
      </c>
      <c r="C250" t="s">
        <v>8</v>
      </c>
      <c r="D250">
        <v>9</v>
      </c>
      <c r="E250" t="s">
        <v>46</v>
      </c>
      <c r="F250" t="s">
        <v>506</v>
      </c>
    </row>
    <row r="251" spans="1:6" x14ac:dyDescent="0.25">
      <c r="A251" t="s">
        <v>547</v>
      </c>
      <c r="B251" t="s">
        <v>548</v>
      </c>
      <c r="C251" t="s">
        <v>8</v>
      </c>
      <c r="D251">
        <v>9</v>
      </c>
      <c r="E251" t="s">
        <v>46</v>
      </c>
      <c r="F251" t="s">
        <v>506</v>
      </c>
    </row>
    <row r="252" spans="1:6" x14ac:dyDescent="0.25">
      <c r="A252" t="s">
        <v>549</v>
      </c>
      <c r="B252" t="s">
        <v>550</v>
      </c>
      <c r="C252" t="s">
        <v>23</v>
      </c>
      <c r="D252">
        <v>9</v>
      </c>
      <c r="E252" t="s">
        <v>46</v>
      </c>
      <c r="F252" t="s">
        <v>506</v>
      </c>
    </row>
    <row r="253" spans="1:6" x14ac:dyDescent="0.25">
      <c r="A253" t="s">
        <v>551</v>
      </c>
      <c r="B253" t="s">
        <v>552</v>
      </c>
      <c r="C253" t="s">
        <v>8</v>
      </c>
      <c r="D253">
        <v>8</v>
      </c>
      <c r="E253" t="s">
        <v>46</v>
      </c>
      <c r="F253" t="s">
        <v>506</v>
      </c>
    </row>
    <row r="254" spans="1:6" x14ac:dyDescent="0.25">
      <c r="A254" t="s">
        <v>553</v>
      </c>
      <c r="B254" t="s">
        <v>554</v>
      </c>
      <c r="C254" t="s">
        <v>8</v>
      </c>
      <c r="D254">
        <v>8</v>
      </c>
      <c r="E254" t="s">
        <v>46</v>
      </c>
      <c r="F254" t="s">
        <v>506</v>
      </c>
    </row>
    <row r="255" spans="1:6" x14ac:dyDescent="0.25">
      <c r="A255" t="s">
        <v>555</v>
      </c>
      <c r="B255" t="s">
        <v>556</v>
      </c>
      <c r="C255" t="s">
        <v>8</v>
      </c>
      <c r="D255">
        <v>9</v>
      </c>
      <c r="E255" t="s">
        <v>56</v>
      </c>
      <c r="F255" t="s">
        <v>506</v>
      </c>
    </row>
    <row r="256" spans="1:6" x14ac:dyDescent="0.25">
      <c r="A256" t="s">
        <v>557</v>
      </c>
      <c r="B256" t="s">
        <v>558</v>
      </c>
      <c r="C256" t="s">
        <v>8</v>
      </c>
      <c r="D256">
        <v>8</v>
      </c>
      <c r="E256" t="s">
        <v>56</v>
      </c>
      <c r="F256" t="s">
        <v>506</v>
      </c>
    </row>
    <row r="257" spans="1:6" x14ac:dyDescent="0.25">
      <c r="A257" t="s">
        <v>559</v>
      </c>
      <c r="B257" t="s">
        <v>560</v>
      </c>
      <c r="C257" t="s">
        <v>8</v>
      </c>
      <c r="D257">
        <v>9</v>
      </c>
      <c r="E257" t="s">
        <v>56</v>
      </c>
      <c r="F257" t="s">
        <v>506</v>
      </c>
    </row>
    <row r="258" spans="1:6" x14ac:dyDescent="0.25">
      <c r="A258" t="s">
        <v>561</v>
      </c>
      <c r="B258" t="s">
        <v>562</v>
      </c>
      <c r="C258" t="s">
        <v>8</v>
      </c>
      <c r="D258">
        <v>12</v>
      </c>
      <c r="E258" t="s">
        <v>56</v>
      </c>
      <c r="F258" t="s">
        <v>506</v>
      </c>
    </row>
    <row r="259" spans="1:6" x14ac:dyDescent="0.25">
      <c r="A259" t="s">
        <v>563</v>
      </c>
      <c r="B259" t="s">
        <v>564</v>
      </c>
      <c r="C259" t="s">
        <v>8</v>
      </c>
      <c r="D259">
        <v>9</v>
      </c>
      <c r="E259" t="s">
        <v>56</v>
      </c>
      <c r="F259" t="s">
        <v>506</v>
      </c>
    </row>
    <row r="260" spans="1:6" x14ac:dyDescent="0.25">
      <c r="A260" t="s">
        <v>565</v>
      </c>
      <c r="B260" t="s">
        <v>566</v>
      </c>
      <c r="C260" t="s">
        <v>8</v>
      </c>
      <c r="D260">
        <v>9</v>
      </c>
      <c r="E260" t="s">
        <v>53</v>
      </c>
      <c r="F260" t="s">
        <v>506</v>
      </c>
    </row>
    <row r="261" spans="1:6" x14ac:dyDescent="0.25">
      <c r="A261" t="s">
        <v>567</v>
      </c>
      <c r="B261" t="s">
        <v>568</v>
      </c>
      <c r="C261" t="s">
        <v>8</v>
      </c>
      <c r="D261">
        <v>8</v>
      </c>
      <c r="E261" t="s">
        <v>73</v>
      </c>
      <c r="F261" t="s">
        <v>506</v>
      </c>
    </row>
    <row r="262" spans="1:6" x14ac:dyDescent="0.25">
      <c r="A262" t="s">
        <v>569</v>
      </c>
      <c r="B262" t="s">
        <v>570</v>
      </c>
      <c r="C262" t="s">
        <v>8</v>
      </c>
      <c r="D262">
        <v>10</v>
      </c>
      <c r="E262" t="s">
        <v>86</v>
      </c>
      <c r="F262" t="s">
        <v>506</v>
      </c>
    </row>
    <row r="263" spans="1:6" x14ac:dyDescent="0.25">
      <c r="A263" t="s">
        <v>571</v>
      </c>
      <c r="B263" t="s">
        <v>572</v>
      </c>
      <c r="C263" t="s">
        <v>8</v>
      </c>
      <c r="D263">
        <v>7</v>
      </c>
      <c r="E263" t="s">
        <v>86</v>
      </c>
      <c r="F263" t="s">
        <v>506</v>
      </c>
    </row>
    <row r="264" spans="1:6" x14ac:dyDescent="0.25">
      <c r="A264" t="s">
        <v>573</v>
      </c>
      <c r="B264" t="s">
        <v>574</v>
      </c>
      <c r="C264" t="s">
        <v>8</v>
      </c>
      <c r="D264">
        <v>6</v>
      </c>
      <c r="E264" t="s">
        <v>86</v>
      </c>
      <c r="F264" t="s">
        <v>506</v>
      </c>
    </row>
    <row r="265" spans="1:6" x14ac:dyDescent="0.25">
      <c r="A265" t="s">
        <v>575</v>
      </c>
      <c r="B265" t="s">
        <v>576</v>
      </c>
      <c r="C265" t="s">
        <v>8</v>
      </c>
      <c r="D265">
        <v>8</v>
      </c>
      <c r="E265" t="s">
        <v>73</v>
      </c>
      <c r="F265" t="s">
        <v>506</v>
      </c>
    </row>
    <row r="266" spans="1:6" x14ac:dyDescent="0.25">
      <c r="A266" t="s">
        <v>577</v>
      </c>
      <c r="B266" t="s">
        <v>578</v>
      </c>
      <c r="C266" t="s">
        <v>8</v>
      </c>
      <c r="D266">
        <v>7</v>
      </c>
      <c r="E266" t="s">
        <v>86</v>
      </c>
      <c r="F266" t="s">
        <v>506</v>
      </c>
    </row>
    <row r="267" spans="1:6" x14ac:dyDescent="0.25">
      <c r="A267" t="s">
        <v>579</v>
      </c>
      <c r="B267" t="s">
        <v>580</v>
      </c>
      <c r="C267" t="s">
        <v>8</v>
      </c>
      <c r="D267">
        <v>8</v>
      </c>
      <c r="E267" t="s">
        <v>86</v>
      </c>
      <c r="F267" t="s">
        <v>506</v>
      </c>
    </row>
    <row r="268" spans="1:6" x14ac:dyDescent="0.25">
      <c r="A268" t="s">
        <v>581</v>
      </c>
      <c r="B268" t="s">
        <v>582</v>
      </c>
      <c r="C268" t="s">
        <v>23</v>
      </c>
      <c r="D268">
        <v>7</v>
      </c>
      <c r="E268" t="s">
        <v>86</v>
      </c>
      <c r="F268" t="s">
        <v>506</v>
      </c>
    </row>
    <row r="269" spans="1:6" x14ac:dyDescent="0.25">
      <c r="A269" t="s">
        <v>583</v>
      </c>
      <c r="B269" t="s">
        <v>584</v>
      </c>
      <c r="C269" t="s">
        <v>8</v>
      </c>
      <c r="D269">
        <v>9</v>
      </c>
      <c r="E269" t="s">
        <v>104</v>
      </c>
      <c r="F269" t="s">
        <v>506</v>
      </c>
    </row>
    <row r="270" spans="1:6" x14ac:dyDescent="0.25">
      <c r="A270" t="s">
        <v>585</v>
      </c>
      <c r="B270" t="s">
        <v>586</v>
      </c>
      <c r="C270" t="s">
        <v>23</v>
      </c>
      <c r="D270">
        <v>6</v>
      </c>
      <c r="E270" t="s">
        <v>104</v>
      </c>
      <c r="F270" t="s">
        <v>506</v>
      </c>
    </row>
    <row r="271" spans="1:6" x14ac:dyDescent="0.25">
      <c r="A271" t="s">
        <v>587</v>
      </c>
      <c r="B271" t="s">
        <v>588</v>
      </c>
      <c r="C271" t="s">
        <v>8</v>
      </c>
      <c r="D271">
        <v>9</v>
      </c>
      <c r="E271" t="s">
        <v>104</v>
      </c>
      <c r="F271" t="s">
        <v>506</v>
      </c>
    </row>
    <row r="272" spans="1:6" x14ac:dyDescent="0.25">
      <c r="A272" t="s">
        <v>589</v>
      </c>
      <c r="B272" t="s">
        <v>590</v>
      </c>
      <c r="C272" t="s">
        <v>8</v>
      </c>
      <c r="D272">
        <v>8</v>
      </c>
      <c r="E272" t="s">
        <v>104</v>
      </c>
      <c r="F272" t="s">
        <v>506</v>
      </c>
    </row>
    <row r="273" spans="1:6" x14ac:dyDescent="0.25">
      <c r="A273" t="s">
        <v>591</v>
      </c>
      <c r="B273" t="s">
        <v>592</v>
      </c>
      <c r="C273" t="s">
        <v>8</v>
      </c>
      <c r="D273">
        <v>7</v>
      </c>
      <c r="E273" t="s">
        <v>104</v>
      </c>
      <c r="F273" t="s">
        <v>506</v>
      </c>
    </row>
    <row r="274" spans="1:6" x14ac:dyDescent="0.25">
      <c r="A274" t="s">
        <v>593</v>
      </c>
      <c r="B274" t="s">
        <v>594</v>
      </c>
      <c r="C274" t="s">
        <v>8</v>
      </c>
      <c r="D274">
        <v>4</v>
      </c>
      <c r="E274" t="s">
        <v>206</v>
      </c>
      <c r="F274" t="s">
        <v>506</v>
      </c>
    </row>
    <row r="275" spans="1:6" x14ac:dyDescent="0.25">
      <c r="A275" t="s">
        <v>595</v>
      </c>
      <c r="B275" t="s">
        <v>596</v>
      </c>
      <c r="C275" t="s">
        <v>8</v>
      </c>
      <c r="D275">
        <v>4</v>
      </c>
      <c r="E275" t="s">
        <v>217</v>
      </c>
      <c r="F275" t="s">
        <v>506</v>
      </c>
    </row>
    <row r="276" spans="1:6" x14ac:dyDescent="0.25">
      <c r="A276" t="s">
        <v>597</v>
      </c>
      <c r="B276" t="s">
        <v>598</v>
      </c>
      <c r="C276" t="s">
        <v>8</v>
      </c>
      <c r="D276">
        <v>3</v>
      </c>
      <c r="E276" t="s">
        <v>53</v>
      </c>
      <c r="F276" t="s">
        <v>506</v>
      </c>
    </row>
    <row r="277" spans="1:6" x14ac:dyDescent="0.25">
      <c r="A277" t="s">
        <v>599</v>
      </c>
      <c r="B277" t="s">
        <v>600</v>
      </c>
      <c r="C277" t="s">
        <v>8</v>
      </c>
      <c r="D277">
        <v>13</v>
      </c>
      <c r="E277" t="s">
        <v>300</v>
      </c>
      <c r="F277" t="s">
        <v>601</v>
      </c>
    </row>
    <row r="278" spans="1:6" x14ac:dyDescent="0.25">
      <c r="A278" t="s">
        <v>602</v>
      </c>
      <c r="B278" t="s">
        <v>603</v>
      </c>
      <c r="C278" t="s">
        <v>8</v>
      </c>
      <c r="D278">
        <v>7</v>
      </c>
      <c r="E278" t="s">
        <v>56</v>
      </c>
      <c r="F278" t="s">
        <v>601</v>
      </c>
    </row>
    <row r="279" spans="1:6" x14ac:dyDescent="0.25">
      <c r="A279" t="s">
        <v>604</v>
      </c>
      <c r="B279" t="s">
        <v>605</v>
      </c>
      <c r="C279" t="s">
        <v>8</v>
      </c>
      <c r="D279">
        <v>8</v>
      </c>
      <c r="E279" t="s">
        <v>53</v>
      </c>
      <c r="F279" t="s">
        <v>601</v>
      </c>
    </row>
    <row r="280" spans="1:6" x14ac:dyDescent="0.25">
      <c r="A280" t="s">
        <v>606</v>
      </c>
      <c r="B280" t="s">
        <v>607</v>
      </c>
      <c r="C280" t="s">
        <v>8</v>
      </c>
      <c r="D280">
        <v>8</v>
      </c>
      <c r="E280" t="s">
        <v>53</v>
      </c>
      <c r="F280" t="s">
        <v>601</v>
      </c>
    </row>
    <row r="281" spans="1:6" x14ac:dyDescent="0.25">
      <c r="A281" t="s">
        <v>608</v>
      </c>
      <c r="B281" t="s">
        <v>609</v>
      </c>
      <c r="C281" t="s">
        <v>8</v>
      </c>
      <c r="D281">
        <v>8</v>
      </c>
      <c r="E281" t="s">
        <v>53</v>
      </c>
      <c r="F281" t="s">
        <v>601</v>
      </c>
    </row>
    <row r="282" spans="1:6" x14ac:dyDescent="0.25">
      <c r="A282" t="s">
        <v>610</v>
      </c>
      <c r="B282" t="s">
        <v>611</v>
      </c>
      <c r="C282" t="s">
        <v>95</v>
      </c>
      <c r="D282">
        <v>7</v>
      </c>
      <c r="E282" t="s">
        <v>104</v>
      </c>
      <c r="F282" t="s">
        <v>601</v>
      </c>
    </row>
    <row r="283" spans="1:6" x14ac:dyDescent="0.25">
      <c r="A283" t="s">
        <v>612</v>
      </c>
      <c r="B283" t="s">
        <v>613</v>
      </c>
      <c r="C283" t="s">
        <v>8</v>
      </c>
      <c r="D283">
        <v>6</v>
      </c>
      <c r="E283" t="s">
        <v>53</v>
      </c>
      <c r="F283" t="s">
        <v>601</v>
      </c>
    </row>
    <row r="284" spans="1:6" x14ac:dyDescent="0.25">
      <c r="A284" t="s">
        <v>614</v>
      </c>
      <c r="B284" t="s">
        <v>615</v>
      </c>
      <c r="C284" t="s">
        <v>19</v>
      </c>
      <c r="D284">
        <v>5</v>
      </c>
      <c r="E284" t="s">
        <v>53</v>
      </c>
      <c r="F284" t="s">
        <v>601</v>
      </c>
    </row>
    <row r="285" spans="1:6" x14ac:dyDescent="0.25">
      <c r="A285" t="s">
        <v>616</v>
      </c>
      <c r="B285" t="s">
        <v>617</v>
      </c>
      <c r="C285" t="s">
        <v>8</v>
      </c>
      <c r="D285">
        <v>6</v>
      </c>
      <c r="E285" t="s">
        <v>53</v>
      </c>
      <c r="F285" t="s">
        <v>601</v>
      </c>
    </row>
    <row r="286" spans="1:6" x14ac:dyDescent="0.25">
      <c r="A286" t="s">
        <v>618</v>
      </c>
      <c r="B286" t="s">
        <v>619</v>
      </c>
      <c r="C286" t="s">
        <v>19</v>
      </c>
      <c r="D286">
        <v>6</v>
      </c>
      <c r="E286" t="s">
        <v>184</v>
      </c>
      <c r="F286" t="s">
        <v>601</v>
      </c>
    </row>
    <row r="287" spans="1:6" x14ac:dyDescent="0.25">
      <c r="A287" t="s">
        <v>620</v>
      </c>
      <c r="B287" t="s">
        <v>621</v>
      </c>
      <c r="C287" t="s">
        <v>8</v>
      </c>
      <c r="D287">
        <v>5</v>
      </c>
      <c r="E287" t="s">
        <v>53</v>
      </c>
      <c r="F287" t="s">
        <v>601</v>
      </c>
    </row>
    <row r="288" spans="1:6" x14ac:dyDescent="0.25">
      <c r="A288" t="s">
        <v>622</v>
      </c>
      <c r="B288" t="s">
        <v>623</v>
      </c>
      <c r="C288" t="s">
        <v>8</v>
      </c>
      <c r="D288">
        <v>5</v>
      </c>
      <c r="E288" t="s">
        <v>184</v>
      </c>
      <c r="F288" t="s">
        <v>601</v>
      </c>
    </row>
    <row r="289" spans="1:6" x14ac:dyDescent="0.25">
      <c r="A289" t="s">
        <v>624</v>
      </c>
      <c r="B289" t="s">
        <v>625</v>
      </c>
      <c r="C289" t="s">
        <v>19</v>
      </c>
      <c r="D289">
        <v>5</v>
      </c>
      <c r="E289" t="s">
        <v>53</v>
      </c>
      <c r="F289" t="s">
        <v>601</v>
      </c>
    </row>
    <row r="290" spans="1:6" x14ac:dyDescent="0.25">
      <c r="A290" t="s">
        <v>626</v>
      </c>
      <c r="B290" t="s">
        <v>627</v>
      </c>
      <c r="C290" t="s">
        <v>8</v>
      </c>
      <c r="D290">
        <v>5</v>
      </c>
      <c r="E290" t="s">
        <v>53</v>
      </c>
      <c r="F290" t="s">
        <v>601</v>
      </c>
    </row>
    <row r="291" spans="1:6" x14ac:dyDescent="0.25">
      <c r="A291" t="s">
        <v>628</v>
      </c>
      <c r="B291" t="s">
        <v>629</v>
      </c>
      <c r="C291" t="s">
        <v>19</v>
      </c>
      <c r="D291">
        <v>4</v>
      </c>
      <c r="E291" t="s">
        <v>53</v>
      </c>
      <c r="F291" t="s">
        <v>601</v>
      </c>
    </row>
    <row r="292" spans="1:6" x14ac:dyDescent="0.25">
      <c r="A292" t="s">
        <v>630</v>
      </c>
      <c r="B292" t="s">
        <v>631</v>
      </c>
      <c r="C292" t="s">
        <v>8</v>
      </c>
      <c r="D292">
        <v>4</v>
      </c>
      <c r="E292" t="s">
        <v>206</v>
      </c>
      <c r="F292" t="s">
        <v>601</v>
      </c>
    </row>
    <row r="293" spans="1:6" x14ac:dyDescent="0.25">
      <c r="A293" t="s">
        <v>632</v>
      </c>
      <c r="B293" t="s">
        <v>633</v>
      </c>
      <c r="C293" t="s">
        <v>8</v>
      </c>
      <c r="D293">
        <v>4</v>
      </c>
      <c r="E293" t="s">
        <v>53</v>
      </c>
      <c r="F293" t="s">
        <v>601</v>
      </c>
    </row>
    <row r="294" spans="1:6" x14ac:dyDescent="0.25">
      <c r="A294" t="s">
        <v>634</v>
      </c>
      <c r="B294" t="s">
        <v>635</v>
      </c>
      <c r="C294" t="s">
        <v>8</v>
      </c>
      <c r="D294">
        <v>4</v>
      </c>
      <c r="E294" t="s">
        <v>53</v>
      </c>
      <c r="F294" t="s">
        <v>601</v>
      </c>
    </row>
    <row r="295" spans="1:6" x14ac:dyDescent="0.25">
      <c r="A295" t="s">
        <v>636</v>
      </c>
      <c r="B295" t="s">
        <v>637</v>
      </c>
      <c r="C295" t="s">
        <v>8</v>
      </c>
      <c r="D295">
        <v>4</v>
      </c>
      <c r="E295" t="s">
        <v>53</v>
      </c>
      <c r="F295" t="s">
        <v>601</v>
      </c>
    </row>
    <row r="296" spans="1:6" x14ac:dyDescent="0.25">
      <c r="A296" t="s">
        <v>638</v>
      </c>
      <c r="B296" t="s">
        <v>639</v>
      </c>
      <c r="C296" t="s">
        <v>8</v>
      </c>
      <c r="D296">
        <v>3</v>
      </c>
      <c r="E296" t="s">
        <v>53</v>
      </c>
      <c r="F296" t="s">
        <v>601</v>
      </c>
    </row>
    <row r="297" spans="1:6" x14ac:dyDescent="0.25">
      <c r="A297" t="s">
        <v>640</v>
      </c>
      <c r="B297" t="s">
        <v>641</v>
      </c>
      <c r="C297" t="s">
        <v>19</v>
      </c>
      <c r="D297">
        <v>3</v>
      </c>
      <c r="E297" t="s">
        <v>53</v>
      </c>
      <c r="F297" t="s">
        <v>601</v>
      </c>
    </row>
    <row r="298" spans="1:6" x14ac:dyDescent="0.25">
      <c r="A298" t="s">
        <v>642</v>
      </c>
      <c r="B298" t="s">
        <v>643</v>
      </c>
      <c r="C298" t="s">
        <v>8</v>
      </c>
      <c r="D298">
        <v>4</v>
      </c>
      <c r="E298" t="s">
        <v>53</v>
      </c>
      <c r="F298" t="s">
        <v>601</v>
      </c>
    </row>
    <row r="299" spans="1:6" x14ac:dyDescent="0.25">
      <c r="A299" t="s">
        <v>644</v>
      </c>
      <c r="B299" t="s">
        <v>645</v>
      </c>
      <c r="C299" t="s">
        <v>8</v>
      </c>
      <c r="D299">
        <v>4</v>
      </c>
      <c r="E299" t="s">
        <v>53</v>
      </c>
      <c r="F299" t="s">
        <v>601</v>
      </c>
    </row>
    <row r="300" spans="1:6" x14ac:dyDescent="0.25">
      <c r="A300" t="s">
        <v>646</v>
      </c>
      <c r="B300" t="s">
        <v>647</v>
      </c>
      <c r="C300" t="s">
        <v>8</v>
      </c>
      <c r="D300">
        <v>3</v>
      </c>
      <c r="E300" t="s">
        <v>53</v>
      </c>
      <c r="F300" t="s">
        <v>601</v>
      </c>
    </row>
    <row r="301" spans="1:6" x14ac:dyDescent="0.25">
      <c r="A301" t="s">
        <v>648</v>
      </c>
      <c r="B301" t="s">
        <v>649</v>
      </c>
      <c r="C301" t="s">
        <v>8</v>
      </c>
      <c r="D301">
        <v>3</v>
      </c>
      <c r="E301" t="s">
        <v>53</v>
      </c>
      <c r="F301" t="s">
        <v>601</v>
      </c>
    </row>
    <row r="302" spans="1:6" x14ac:dyDescent="0.25">
      <c r="A302" t="s">
        <v>650</v>
      </c>
      <c r="B302" t="s">
        <v>651</v>
      </c>
      <c r="C302" t="s">
        <v>8</v>
      </c>
      <c r="D302">
        <v>4</v>
      </c>
      <c r="E302" t="s">
        <v>53</v>
      </c>
      <c r="F302" t="s">
        <v>601</v>
      </c>
    </row>
  </sheetData>
  <mergeCells count="4">
    <mergeCell ref="I10:L10"/>
    <mergeCell ref="J11:L11"/>
    <mergeCell ref="J12:L12"/>
    <mergeCell ref="I15:L15"/>
  </mergeCells>
  <conditionalFormatting sqref="P11:Q16">
    <cfRule type="containsText" dxfId="4" priority="5" operator="containsText" text="Red">
      <formula>NOT(ISERROR(SEARCH("Red",P11)))</formula>
    </cfRule>
    <cfRule type="containsText" dxfId="3" priority="4" operator="containsText" text="Orange">
      <formula>NOT(ISERROR(SEARCH("Orange",P11)))</formula>
    </cfRule>
    <cfRule type="containsText" dxfId="2" priority="3" operator="containsText" text="Green">
      <formula>NOT(ISERROR(SEARCH("Green",P11)))</formula>
    </cfRule>
    <cfRule type="containsText" dxfId="1" priority="2" operator="containsText" text="Tile">
      <formula>NOT(ISERROR(SEARCH("Tile",P11)))</formula>
    </cfRule>
    <cfRule type="containsText" dxfId="0" priority="1" operator="containsText" text="Over">
      <formula>NOT(ISERROR(SEARCH("Over",P11)))</formula>
    </cfRule>
  </conditionalFormatting>
  <pageMargins left="0.7" right="0.7" top="0.75" bottom="0.75" header="0.3" footer="0.3"/>
  <pageSetup orientation="portrait" r:id="rId1"/>
  <ignoredErrors>
    <ignoredError sqref="O12" formulaRange="1"/>
  </ignoredError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fullroster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Beyond Boy</dc:creator>
  <cp:lastModifiedBy>Beyond Boy</cp:lastModifiedBy>
  <dcterms:created xsi:type="dcterms:W3CDTF">2021-05-20T05:41:57Z</dcterms:created>
  <dcterms:modified xsi:type="dcterms:W3CDTF">2021-05-20T05:41:57Z</dcterms:modified>
</cp:coreProperties>
</file>